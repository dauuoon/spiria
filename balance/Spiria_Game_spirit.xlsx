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880" windowWidth="18060" windowHeight="21360" tabRatio="600" firstSheet="0" activeTab="0" autoFilterDateGrouping="1"/>
  </bookViews>
  <sheets>
    <sheet name="정령·의뢰서 합본" sheetId="1" state="visible" r:id="rId1"/>
    <sheet name="일치율 계산 기준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7">
    <font>
      <name val="Carlito"/>
      <color rgb="FF000000"/>
      <sz val="11"/>
      <scheme val="minor"/>
    </font>
    <font>
      <name val="Carlito"/>
      <charset val="129"/>
      <b val="1"/>
      <color rgb="FFFFFFFF"/>
      <sz val="14"/>
    </font>
    <font>
      <name val="Carlito"/>
      <charset val="129"/>
      <b val="1"/>
      <color rgb="FFFFFFFF"/>
      <sz val="11"/>
    </font>
    <font>
      <name val="Carlito"/>
      <charset val="129"/>
      <color theme="1"/>
      <sz val="11"/>
    </font>
    <font>
      <name val="Carlito"/>
      <charset val="129"/>
      <b val="1"/>
      <color theme="1"/>
      <sz val="11"/>
    </font>
    <font>
      <name val="Carlito"/>
      <charset val="129"/>
      <family val="3"/>
      <sz val="8"/>
      <scheme val="minor"/>
    </font>
    <font>
      <name val="Carlito"/>
      <charset val="129"/>
      <color rgb="FF00000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5F4AA8"/>
        <bgColor rgb="FF5F4AA8"/>
      </patternFill>
    </fill>
    <fill>
      <patternFill patternType="solid">
        <fgColor rgb="FFA894FF"/>
        <bgColor rgb="FFA894F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4">
    <border>
      <left/>
      <right/>
      <top/>
      <bottom/>
      <diagonal/>
    </border>
    <border>
      <left style="thin">
        <color rgb="FFD8D4E8"/>
      </left>
      <right/>
      <top style="thin">
        <color rgb="FFD8D4E8"/>
      </top>
      <bottom/>
      <diagonal/>
    </border>
    <border>
      <left/>
      <right/>
      <top style="thin">
        <color rgb="FFD8D4E8"/>
      </top>
      <bottom/>
      <diagonal/>
    </border>
    <border>
      <left/>
      <right style="thin">
        <color rgb="FFD8D4E8"/>
      </right>
      <top style="thin">
        <color rgb="FFD8D4E8"/>
      </top>
      <bottom/>
      <diagonal/>
    </border>
    <border>
      <left style="thin">
        <color rgb="FFD8D4E8"/>
      </left>
      <right/>
      <top/>
      <bottom/>
      <diagonal/>
    </border>
    <border>
      <left/>
      <right style="thin">
        <color rgb="FFD8D4E8"/>
      </right>
      <top/>
      <bottom/>
      <diagonal/>
    </border>
    <border>
      <left style="thin">
        <color rgb="FFD8D4E8"/>
      </left>
      <right/>
      <top/>
      <bottom style="thin">
        <color rgb="FFD8D4E8"/>
      </bottom>
      <diagonal/>
    </border>
    <border>
      <left/>
      <right/>
      <top/>
      <bottom style="thin">
        <color rgb="FFD8D4E8"/>
      </bottom>
      <diagonal/>
    </border>
    <border>
      <left/>
      <right style="thin">
        <color rgb="FFD8D4E8"/>
      </right>
      <top/>
      <bottom style="thin">
        <color rgb="FFD8D4E8"/>
      </bottom>
      <diagonal/>
    </border>
    <border>
      <left style="thin">
        <color rgb="FFD8D4E8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D8D4E8"/>
      </top>
      <bottom style="thin">
        <color rgb="FF000000"/>
      </bottom>
      <diagonal/>
    </border>
    <border>
      <left/>
      <right style="thin">
        <color rgb="FFD8D4E8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3" fillId="0" borderId="5" applyAlignment="1" pivotButton="0" quotePrefix="0" xfId="0">
      <alignment wrapText="1"/>
    </xf>
    <xf numFmtId="0" fontId="2" fillId="3" borderId="4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wrapText="1"/>
    </xf>
    <xf numFmtId="0" fontId="2" fillId="2" borderId="0" applyAlignment="1" pivotButton="0" quotePrefix="0" xfId="0">
      <alignment horizontal="center" vertical="center" wrapText="1"/>
    </xf>
    <xf numFmtId="0" fontId="3" fillId="0" borderId="7" applyAlignment="1" pivotButton="0" quotePrefix="0" xfId="0">
      <alignment wrapText="1"/>
    </xf>
    <xf numFmtId="0" fontId="3" fillId="0" borderId="8" applyAlignment="1" pivotButton="0" quotePrefix="0" xfId="0">
      <alignment wrapText="1"/>
    </xf>
    <xf numFmtId="49" fontId="2" fillId="2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164" fontId="3" fillId="5" borderId="2" applyAlignment="1" pivotButton="0" quotePrefix="0" xfId="0">
      <alignment horizontal="center" vertical="center" wrapText="1"/>
    </xf>
    <xf numFmtId="164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164" fontId="3" fillId="5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164" fontId="3" fillId="4" borderId="0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center" vertical="center" wrapText="1"/>
    </xf>
    <xf numFmtId="0" fontId="3" fillId="4" borderId="10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 wrapText="1"/>
    </xf>
    <xf numFmtId="0" fontId="3" fillId="4" borderId="11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4" fillId="5" borderId="10" applyAlignment="1" pivotButton="0" quotePrefix="0" xfId="0">
      <alignment horizontal="center" vertical="center" wrapText="1"/>
    </xf>
    <xf numFmtId="164" fontId="3" fillId="5" borderId="10" applyAlignment="1" pivotButton="0" quotePrefix="0" xfId="0">
      <alignment horizontal="center" vertical="center" wrapText="1"/>
    </xf>
    <xf numFmtId="164" fontId="3" fillId="4" borderId="10" applyAlignment="1" pivotButton="0" quotePrefix="0" xfId="0">
      <alignment horizontal="center" vertical="center" wrapText="1"/>
    </xf>
    <xf numFmtId="0" fontId="3" fillId="4" borderId="12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center" vertical="center" wrapText="1"/>
    </xf>
    <xf numFmtId="0" fontId="6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164" fontId="3" fillId="5" borderId="2" applyAlignment="1" pivotButton="0" quotePrefix="0" xfId="0">
      <alignment horizontal="center" vertical="center" wrapText="1"/>
    </xf>
    <xf numFmtId="164" fontId="3" fillId="4" borderId="2" applyAlignment="1" pivotButton="0" quotePrefix="0" xfId="0">
      <alignment horizontal="center" vertical="center" wrapText="1"/>
    </xf>
    <xf numFmtId="164" fontId="3" fillId="5" borderId="0" applyAlignment="1" pivotButton="0" quotePrefix="0" xfId="0">
      <alignment horizontal="center" vertical="center" wrapText="1"/>
    </xf>
    <xf numFmtId="164" fontId="3" fillId="4" borderId="0" applyAlignment="1" pivotButton="0" quotePrefix="0" xfId="0">
      <alignment horizontal="center" vertical="center" wrapText="1"/>
    </xf>
    <xf numFmtId="164" fontId="3" fillId="5" borderId="10" applyAlignment="1" pivotButton="0" quotePrefix="0" xfId="0">
      <alignment horizontal="center" vertical="center" wrapText="1"/>
    </xf>
    <xf numFmtId="164" fontId="3" fillId="4" borderId="10" applyAlignment="1" pivotButton="0" quotePrefix="0" xfId="0">
      <alignment horizontal="center" vertical="center" wrapText="1"/>
    </xf>
  </cellXfs>
  <cellStyles count="1">
    <cellStyle name="표준" xfId="0" builtinId="0"/>
  </cellStyles>
  <dxfs count="8">
    <dxf>
      <fill>
        <patternFill patternType="solid">
          <fgColor rgb="FFF7E7A8"/>
          <bgColor rgb="FFF7E7A8"/>
        </patternFill>
      </fill>
    </dxf>
    <dxf>
      <fill>
        <patternFill patternType="solid">
          <fgColor rgb="FFD8C7FF"/>
          <bgColor rgb="FFD8C7FF"/>
        </patternFill>
      </fill>
    </dxf>
    <dxf>
      <fill>
        <patternFill patternType="solid">
          <fgColor rgb="FFBFE9E2"/>
          <bgColor rgb="FFBFE9E2"/>
        </patternFill>
      </fill>
    </dxf>
    <dxf>
      <fill>
        <patternFill patternType="solid">
          <fgColor rgb="FFE5E7EB"/>
          <bgColor rgb="FFE5E7E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 defaultTableStyle="TableStyleMedium9" defaultPivotStyle="PivotStyleLight16">
    <tableStyle name="정령·의뢰서 합본-style" pivot="0" count="4">
      <tableStyleElement type="wholeTable" size="0" dxfId="7"/>
      <tableStyleElement type="headerRow" dxfId="6"/>
      <tableStyleElement type="firstRowStripe" dxfId="5"/>
      <tableStyleElement type="secondRowStripe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iriaSpiritQuestTable" displayName="SpiriaSpiritQuestTable" ref="A1:P13" headerRowCount="1">
  <tableColumns count="16">
    <tableColumn id="1" name="No."/>
    <tableColumn id="2" name="조합 순서 (1→2→3)"/>
    <tableColumn id="3" name="정령명"/>
    <tableColumn id="4" name="상세 배경 톤"/>
    <tableColumn id="5" name="유형"/>
    <tableColumn id="6" name="희귀도"/>
    <tableColumn id="7" name="정령 스토리"/>
    <tableColumn id="8" name="정령 스토리 박스 색"/>
    <tableColumn id="9" name="의뢰서 내용"/>
    <tableColumn id="10" name="핵심 키워드"/>
    <tableColumn id="11" name="핵심 키워드 폰트색"/>
    <tableColumn id="12" name="정답 후보"/>
    <tableColumn id="13" name="정답 일치율"/>
    <tableColumn id="14" name="비교 후보"/>
    <tableColumn id="15" name="비교 후보 일치율"/>
    <tableColumn id="16" name="후보별 계산 근거"/>
  </tableColumns>
  <tableStyleInfo name="정령·의뢰서 합본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tabSelected="1" topLeftCell="P1" zoomScale="87" workbookViewId="0">
      <pane ySplit="1" topLeftCell="A5" activePane="bottomLeft" state="frozen"/>
      <selection pane="bottomLeft" activeCell="Q17" sqref="Q17"/>
    </sheetView>
  </sheetViews>
  <sheetFormatPr baseColWidth="10" defaultColWidth="12.6640625" defaultRowHeight="15" customHeight="1"/>
  <cols>
    <col width="7.33203125" customWidth="1" style="45" min="1" max="1"/>
    <col width="18" customWidth="1" style="45" min="2" max="2"/>
    <col width="11" customWidth="1" style="45" min="3" max="3"/>
    <col width="12.83203125" customWidth="1" style="45" min="4" max="4"/>
    <col width="10" customWidth="1" style="45" min="5" max="5"/>
    <col width="9" customWidth="1" style="45" min="6" max="6"/>
    <col width="37" customWidth="1" style="45" min="7" max="7"/>
    <col width="9.83203125" customWidth="1" style="45" min="8" max="8"/>
    <col width="58.1640625" customWidth="1" style="45" min="9" max="9"/>
    <col width="28.83203125" customWidth="1" style="45" min="10" max="10"/>
    <col width="9.1640625" customWidth="1" style="45" min="11" max="11"/>
    <col width="12" customWidth="1" style="45" min="12" max="14"/>
    <col width="14" customWidth="1" style="45" min="15" max="15"/>
    <col width="46" customWidth="1" style="45" min="16" max="16"/>
    <col width="39.5" customWidth="1" style="45" min="17" max="19"/>
  </cols>
  <sheetData>
    <row r="1" ht="33.75" customHeight="1" s="45">
      <c r="A1" s="11" t="inlineStr">
        <is>
          <t>No.</t>
        </is>
      </c>
      <c r="B1" s="11" t="inlineStr">
        <is>
          <t>조합 순서 (1→2→3)</t>
        </is>
      </c>
      <c r="C1" s="11" t="inlineStr">
        <is>
          <t>정령명</t>
        </is>
      </c>
      <c r="D1" s="14" t="inlineStr">
        <is>
          <t>상세 배경 톤</t>
        </is>
      </c>
      <c r="E1" s="11" t="inlineStr">
        <is>
          <t>유형</t>
        </is>
      </c>
      <c r="F1" s="11" t="inlineStr">
        <is>
          <t>희귀도</t>
        </is>
      </c>
      <c r="G1" s="11" t="inlineStr">
        <is>
          <t>정령 스토리</t>
        </is>
      </c>
      <c r="H1" s="14" t="inlineStr">
        <is>
          <t>정령 스토리 박스 색</t>
        </is>
      </c>
      <c r="I1" s="11" t="inlineStr">
        <is>
          <t>의뢰서 내용</t>
        </is>
      </c>
      <c r="J1" s="11" t="inlineStr">
        <is>
          <t>핵심 키워드</t>
        </is>
      </c>
      <c r="K1" s="14" t="inlineStr">
        <is>
          <t>핵심 키워드 폰트색</t>
        </is>
      </c>
      <c r="L1" s="11" t="inlineStr">
        <is>
          <t>정답 후보</t>
        </is>
      </c>
      <c r="M1" s="11" t="inlineStr">
        <is>
          <t>정답 일치율</t>
        </is>
      </c>
      <c r="N1" s="11" t="inlineStr">
        <is>
          <t>비교 후보</t>
        </is>
      </c>
      <c r="O1" s="11" t="inlineStr">
        <is>
          <t>비교 후보 일치율</t>
        </is>
      </c>
      <c r="P1" s="11" t="inlineStr">
        <is>
          <t>후보별 계산 근거</t>
        </is>
      </c>
      <c r="Q1" t="inlineStr">
        <is>
          <t>소통 대사 1</t>
        </is>
      </c>
      <c r="R1" t="inlineStr">
        <is>
          <t>소통 대사 2</t>
        </is>
      </c>
      <c r="S1" t="inlineStr">
        <is>
          <t>소통 대사 3</t>
        </is>
      </c>
      <c r="T1" t="inlineStr">
        <is>
          <t>소통 대사 4</t>
        </is>
      </c>
      <c r="U1" t="inlineStr">
        <is>
          <t>소통 대사 5</t>
        </is>
      </c>
      <c r="V1" t="inlineStr">
        <is>
          <t>소통 대사 6</t>
        </is>
      </c>
    </row>
    <row r="2" ht="91.5" customHeight="1" s="45">
      <c r="A2" s="15" t="n">
        <v>1</v>
      </c>
      <c r="B2" s="16" t="inlineStr">
        <is>
          <t>꽃 → 별 → 마법</t>
        </is>
      </c>
      <c r="C2" s="17" t="inlineStr">
        <is>
          <t>소요</t>
        </is>
      </c>
      <c r="D2" s="16" t="inlineStr">
        <is>
          <t>따뜻한 골드</t>
        </is>
      </c>
      <c r="E2" s="16" t="inlineStr">
        <is>
          <t>식물형</t>
        </is>
      </c>
      <c r="F2" s="18" t="inlineStr">
        <is>
          <t>일반</t>
        </is>
      </c>
      <c r="G2" s="16" t="inlineStr">
        <is>
          <t>별빛을 머금은 꽃잎에 사람들의
작은 소원을 모아 간직한다. 소원이 이루어지면 
꽃잎 하나를 밤하늘로 돌려보낸다.</t>
        </is>
      </c>
      <c r="H2" s="16" t="inlineStr">
        <is>
          <t>#452f2c</t>
        </is>
      </c>
      <c r="I2" s="16" t="inlineStr">
        <is>
          <t>밤하늘의 별빛이 점점 사라지고 있습니다. 
꽃잎에 머무른 빛일까요, 
달빛 비친 호수에 스며든 빛일까요?</t>
        </is>
      </c>
      <c r="J2" s="16" t="inlineStr">
        <is>
          <t>밤하늘, 소원, 꽃잎, 반짝임</t>
        </is>
      </c>
      <c r="K2" s="16" t="inlineStr">
        <is>
          <t>#eaa49a</t>
        </is>
      </c>
      <c r="L2" s="19" t="inlineStr">
        <is>
          <t>소요</t>
        </is>
      </c>
      <c r="M2" s="47" t="n">
        <v>94</v>
      </c>
      <c r="N2" s="17" t="inlineStr">
        <is>
          <t>루멘</t>
        </is>
      </c>
      <c r="O2" s="48" t="n">
        <v>74</v>
      </c>
      <c r="P2" s="22" t="inlineStr">
        <is>
          <t>소요: 의뢰 29+13+14+8=64 / 재료 15+10+5=30 / 총 94
루멘: 의뢰 25+10+15+9=59 / 재료 8+5+2=15 / 총 74
루멘도 빛과 기억을 다루지만 꽃과 소원 단서가 약하다.</t>
        </is>
      </c>
      <c r="Q2" s="43" t="inlineStr">
        <is>
          <t>“아직 이루어지지 않았다고 사라진 건 아니야.”</t>
        </is>
      </c>
      <c r="R2" s="43" t="inlineStr">
        <is>
          <t>“오늘도 작은 소원 하나가 꽃잎에 내려앉았어.”</t>
        </is>
      </c>
      <c r="S2" s="43" t="inlineStr">
        <is>
          <t>“네 소원도 잠시 내가 간직해 줄까?”</t>
        </is>
      </c>
      <c r="T2" t="inlineStr">
        <is>
          <t>지금 보는 별빛은 아주 오래전 별이 떠나보낸 빛이래.</t>
        </is>
      </c>
      <c r="U2" t="inlineStr">
        <is>
          <t>꽃은 빛이 오는 방향을 천천히 찾아가. 소원도 그럴지 몰라.</t>
        </is>
      </c>
      <c r="V2" t="inlineStr">
        <is>
          <t>작은 꽃잎에도 빛을 받아들이는 저마다의 방법이 있어.</t>
        </is>
      </c>
    </row>
    <row r="3" ht="91.5" customHeight="1" s="45">
      <c r="A3" s="23" t="n">
        <v>2</v>
      </c>
      <c r="B3" s="24" t="inlineStr">
        <is>
          <t>잎 → 바람 → 별</t>
        </is>
      </c>
      <c r="C3" s="25" t="inlineStr">
        <is>
          <t>루아</t>
        </is>
      </c>
      <c r="D3" s="24" t="inlineStr">
        <is>
          <t>푸릇한 그린빛</t>
        </is>
      </c>
      <c r="E3" s="24" t="inlineStr">
        <is>
          <t>식물형</t>
        </is>
      </c>
      <c r="F3" s="24" t="inlineStr">
        <is>
          <t>일반</t>
        </is>
      </c>
      <c r="G3" s="26" t="inlineStr">
        <is>
          <t>잎맥에 바람이 지나간 방향을 기록한다. 
숲에서 길을 잃은 이가 나타나면 
잎을 흔들어 별빛이 비치는 길을 알려준다.</t>
        </is>
      </c>
      <c r="H3" s="26" t="inlineStr">
        <is>
          <t>#1c4d35</t>
        </is>
      </c>
      <c r="I3" s="26" t="inlineStr">
        <is>
          <t>탐험가는 안개 속에서 세 번이나 같은 길을 
걸었습니다. 바람에 흔들리는 잎은 별빛과 
함께 꽃향기는 작은 결정을 따라 
길을 안내해준다고 합니다.</t>
        </is>
      </c>
      <c r="J3" s="26" t="inlineStr">
        <is>
          <t>숲길, 흔들림, 꽃잎, 반짝임</t>
        </is>
      </c>
      <c r="K3" s="26" t="inlineStr">
        <is>
          <t>#AAD06D</t>
        </is>
      </c>
      <c r="L3" s="27" t="inlineStr">
        <is>
          <t>루아</t>
        </is>
      </c>
      <c r="M3" s="49" t="n">
        <v>95</v>
      </c>
      <c r="N3" s="29" t="inlineStr">
        <is>
          <t>포리나</t>
        </is>
      </c>
      <c r="O3" s="50" t="n">
        <v>72</v>
      </c>
      <c r="P3" s="31" t="inlineStr">
        <is>
          <t>루아: 의뢰 30+14+14+7=65 / 재료 15+10+5=30 / 총 95
포리나: 의뢰 21+12+12+7=52 / 재료 8+8+4=20 / 총 72
포리나는 이동 능력이 있지만 길을 판단하고 안내하는 힘은 약하다.</t>
        </is>
      </c>
      <c r="Q3" s="43" t="inlineStr">
        <is>
          <t>“길을 잃었다면 잠시 멈춰 봐. 
잎이 흔들리는 쪽을 알려 줄게.”</t>
        </is>
      </c>
      <c r="R3" s="43" t="inlineStr">
        <is>
          <t>“바람이 지나간 길은 잎맥에 오래 남아 있어.”</t>
        </is>
      </c>
      <c r="S3" s="43" t="inlineStr">
        <is>
          <t>“천천히 걸어도 괜찮아. 
올바른 길은 사라지지 않으니까.”</t>
        </is>
      </c>
      <c r="T3" t="inlineStr">
        <is>
          <t>잎맥은 물과 양분이 오가는 길이야. 작은 잎 안에도 수많은 길이 있지.</t>
        </is>
      </c>
      <c r="U3" t="inlineStr">
        <is>
          <t>바람은 보이지 않지만, 흔들리는 잎을 보면 어디로 가는지 알 수 있어.</t>
        </is>
      </c>
      <c r="V3" t="inlineStr">
        <is>
          <t>나무는 움직이지 않아도 빛과 바람을 따라 매일 조금씩 달라져.</t>
        </is>
      </c>
    </row>
    <row r="4" ht="91.5" customHeight="1" s="45">
      <c r="A4" s="32" t="n">
        <v>3</v>
      </c>
      <c r="B4" s="33" t="inlineStr">
        <is>
          <t>흙 → 꽃 → 태양</t>
        </is>
      </c>
      <c r="C4" s="34" t="inlineStr">
        <is>
          <t>테라</t>
        </is>
      </c>
      <c r="D4" s="35" t="inlineStr">
        <is>
          <t>따뜻한 골드</t>
        </is>
      </c>
      <c r="E4" s="33" t="inlineStr">
        <is>
          <t>식물형</t>
        </is>
      </c>
      <c r="F4" s="36" t="inlineStr">
        <is>
          <t>레어</t>
        </is>
      </c>
      <c r="G4" s="33" t="inlineStr">
        <is>
          <t>굳어버린 땅속에서 작은 온기를 찾아 
꽃의 뿌리로 전달한다. 테라가 머문 자리에는
메마른 계절에도 한 송이의 꽃이 피어난다.</t>
        </is>
      </c>
      <c r="H4" s="33" t="inlineStr">
        <is>
          <t>#312714</t>
        </is>
      </c>
      <c r="I4" s="33" t="inlineStr">
        <is>
          <t>태양은 떠 있는데도 들판엔 꽃 한 송이 
피지 않습니다. 따뜻한 햇살 아래 꺼져가는 
불꽃과 작은 결정만 희미하게 빛나고 있습니다.</t>
        </is>
      </c>
      <c r="J4" s="33" t="inlineStr">
        <is>
          <t>메마른 땅, 생명, 
에너지, 개화, 가치</t>
        </is>
      </c>
      <c r="K4" s="33" t="inlineStr">
        <is>
          <t>#F7E1B1</t>
        </is>
      </c>
      <c r="L4" s="37" t="inlineStr">
        <is>
          <t>테라</t>
        </is>
      </c>
      <c r="M4" s="51" t="n">
        <v>93</v>
      </c>
      <c r="N4" s="34" t="inlineStr">
        <is>
          <t>솔라스</t>
        </is>
      </c>
      <c r="O4" s="52" t="n">
        <v>76</v>
      </c>
      <c r="P4" s="40" t="inlineStr">
        <is>
          <t>테라: 의뢰 29+14+13+7=63 / 재료 15+10+5=30 / 총 93
솔라스: 의뢰 27+11+15+8=61 / 재료 8+5+2=15 / 총 76
솔라스는 온기를 주지만 흙을 회복하고 꽃을 피우는 역할은 테라가 더 정확하다.</t>
        </is>
      </c>
      <c r="Q4" s="43" t="inlineStr">
        <is>
          <t>“아무것도 자라지 않는 것처럼 보여도, 
뿌리는 조용히 준비하고 있어.”</t>
        </is>
      </c>
      <c r="R4" s="46" t="inlineStr">
        <is>
          <t>“메마른 땅속에도 아직 작은 온기가 남아 있어.”</t>
        </is>
      </c>
      <c r="S4" s="46" t="inlineStr">
        <is>
          <t>“오늘은 네 마음에 어떤 꽃을 피워 볼까?”</t>
        </is>
      </c>
      <c r="T4" t="inlineStr">
        <is>
          <t>씨앗은 아무것도 하지 않는 것처럼 보여도, 땅속에서 깨어날 때를 기다려.</t>
        </is>
      </c>
      <c r="U4" t="inlineStr">
        <is>
          <t>뿌리는 빛이 없는 곳에서도 물이 있는 방향을 찾아 자라.</t>
        </is>
      </c>
      <c r="V4" t="inlineStr">
        <is>
          <t>메마른 땅도 물과 온기를 만나면 다시 생명을 품을 수 있어.</t>
        </is>
      </c>
    </row>
    <row r="5" ht="91.5" customHeight="1" s="45">
      <c r="A5" s="41" t="n">
        <v>4</v>
      </c>
      <c r="B5" s="26" t="inlineStr">
        <is>
          <t xml:space="preserve">물 → 달 → 별 </t>
        </is>
      </c>
      <c r="C5" s="29" t="inlineStr">
        <is>
          <t>플레오</t>
        </is>
      </c>
      <c r="D5" s="26" t="inlineStr">
        <is>
          <t>보라빛 신비</t>
        </is>
      </c>
      <c r="E5" s="26" t="inlineStr">
        <is>
          <t>동물형</t>
        </is>
      </c>
      <c r="F5" s="24" t="inlineStr">
        <is>
          <t>일반</t>
        </is>
      </c>
      <c r="G5" s="26" t="inlineStr">
        <is>
          <t>달빛이 비친 물가에 나타나는 작은 정령이다. 
꼬리에 맺힌 별빛을 물결 위에 놓아
안전한 길을 만든다.</t>
        </is>
      </c>
      <c r="H5" s="26" t="inlineStr">
        <is>
          <t>#4e4268</t>
        </is>
      </c>
      <c r="I5" s="26" t="inlineStr">
        <is>
          <t>밤마다 호수 위로 짙은 물안개가 번집니다.
 달빛은 물결을 비추고, 희미한 별빛과 
신비로운 기운이 길을 이어 준다고 합니다.</t>
        </is>
      </c>
      <c r="J5" s="26" t="inlineStr">
        <is>
          <t>호수, 밤, 하늘, 달빛, 공간</t>
        </is>
      </c>
      <c r="K5" s="26" t="inlineStr">
        <is>
          <t>#B6C5FF</t>
        </is>
      </c>
      <c r="L5" s="27" t="inlineStr">
        <is>
          <t>플레오</t>
        </is>
      </c>
      <c r="M5" s="49" t="n">
        <v>94</v>
      </c>
      <c r="N5" s="29" t="inlineStr">
        <is>
          <t>에리온</t>
        </is>
      </c>
      <c r="O5" s="50" t="n">
        <v>73</v>
      </c>
      <c r="P5" s="31" t="inlineStr">
        <is>
          <t>플레오: 의뢰 30+14+13+7=64 / 재료 15+10+5=30 / 총 94
에리온: 의뢰 23+13+14+8=58 / 재료 8+5+2=15 / 총 73
에리온은 물과 달의 속성에는 맞지만 길을 안내하는 역할이 약하다.</t>
        </is>
      </c>
      <c r="Q5" s="43" t="inlineStr">
        <is>
          <t>“길이 잘 보이지 않아도 괜찮아. 
내가 물결 위에 하나씩 놓아 줄게.”</t>
        </is>
      </c>
      <c r="R5" s="46" t="inlineStr">
        <is>
          <t>“물안개가 짙어지면 내 꼬리의 별빛을 따라와.”</t>
        </is>
      </c>
      <c r="S5" s="43" t="inlineStr">
        <is>
          <t>“멀리 보이지 않는 밤에는, 
바로 앞의 작은 빛만 따라가도 돼.”</t>
        </is>
      </c>
      <c r="T5" t="inlineStr">
        <is>
          <t>달빛은 태양의 빛을 빌려 밤의 물결 위에 내려오는 거래.</t>
        </is>
      </c>
      <c r="U5" t="inlineStr">
        <is>
          <t>잔잔한 물결도 빛을 조금씩 다른 방향으로 보내고 있어.</t>
        </is>
      </c>
      <c r="V5" t="inlineStr">
        <is>
          <t>물은 낮은 곳을 향해 흐르면서도 결국 자신만의 길을 만들어.</t>
        </is>
      </c>
    </row>
    <row r="6" ht="91.5" customHeight="1" s="45">
      <c r="A6" s="41" t="n">
        <v>5</v>
      </c>
      <c r="B6" s="26" t="inlineStr">
        <is>
          <t>바람 → 꽃 → 보석</t>
        </is>
      </c>
      <c r="C6" s="29" t="inlineStr">
        <is>
          <t>포리나</t>
        </is>
      </c>
      <c r="D6" s="26" t="inlineStr">
        <is>
          <t>따뜻한 골드</t>
        </is>
      </c>
      <c r="E6" s="26" t="inlineStr">
        <is>
          <t>동물형</t>
        </is>
      </c>
      <c r="F6" s="24" t="inlineStr">
        <is>
          <t>레어</t>
        </is>
      </c>
      <c r="G6" s="26" t="inlineStr">
        <is>
          <t>꽃향기를 날개에 머금고
협곡과 숲 사이를 오가는 정령이다. 
몸 주변의 작은 결정이
향기가 흩어지지 않도록 붙잡아 준다.</t>
        </is>
      </c>
      <c r="H6" s="16" t="inlineStr">
        <is>
          <t>#452f2c</t>
        </is>
      </c>
      <c r="I6" s="26" t="inlineStr">
        <is>
          <t>거센 바람 때문에 꽃향기가 길을 
잃었습니다. 향기는 반짝이는 
결정에 머물고, 바람에 흔들리는 잎은 
별빛이 비치는 길을 알려준다고 합니다.</t>
        </is>
      </c>
      <c r="J6" s="26" t="inlineStr">
        <is>
          <t>성장, 향기, 자유, 
전달, 광, 빛</t>
        </is>
      </c>
      <c r="K6" s="16" t="inlineStr">
        <is>
          <t>#eaa49a</t>
        </is>
      </c>
      <c r="L6" s="27" t="inlineStr">
        <is>
          <t>포리나</t>
        </is>
      </c>
      <c r="M6" s="49" t="n">
        <v>95</v>
      </c>
      <c r="N6" s="29" t="inlineStr">
        <is>
          <t>루아</t>
        </is>
      </c>
      <c r="O6" s="50" t="n">
        <v>74</v>
      </c>
      <c r="P6" s="31" t="inlineStr">
        <is>
          <t>포리나: 의뢰 30+13+14+8=65 / 재료 15+10+5=30 / 총 95
루아: 의뢰 25+12+14+8=59 / 재료 8+5+2=15 / 총 74
루아도 바람길을 이용하지만 향기를 운반하는 전문성은 부족하다.</t>
        </is>
      </c>
      <c r="Q6" s="46" t="inlineStr">
        <is>
          <t>“오늘 네 마음에 좋은 향기가 머물렀으면 좋겠어.”</t>
        </is>
      </c>
      <c r="R6" s="43" t="inlineStr">
        <is>
          <t>“꽃향기는 사라지는 게 아니라 
새로운 곳으로 여행하는 거야.”</t>
        </is>
      </c>
      <c r="S6" s="43" t="inlineStr">
        <is>
          <t>“바람에 흔들려도, 
네가 가진 향기까지 잃는 건 아니야.”</t>
        </is>
      </c>
      <c r="T6" t="inlineStr">
        <is>
          <t>꽃향기는 아주 작은 분자가 바람을 타고 우리에게 도착한 거야.</t>
        </is>
      </c>
      <c r="U6" t="inlineStr">
        <is>
          <t>향기는 눈에 보이지 않아도 멀리 있는 누군가에게 닿을 수 있어.</t>
        </is>
      </c>
      <c r="V6" t="inlineStr">
        <is>
          <t>꽃마다 향기가 다른 건, 자신을 기억하게 하는 방법이 다르기 때문일까?</t>
        </is>
      </c>
    </row>
    <row r="7" ht="91.5" customHeight="1" s="45">
      <c r="A7" s="32" t="n">
        <v>6</v>
      </c>
      <c r="B7" s="33" t="inlineStr">
        <is>
          <t>불 → 흙 → 마법</t>
        </is>
      </c>
      <c r="C7" s="34" t="inlineStr">
        <is>
          <t>이그니</t>
        </is>
      </c>
      <c r="D7" s="33" t="inlineStr">
        <is>
          <t>붉은 불빛</t>
        </is>
      </c>
      <c r="E7" s="33" t="inlineStr">
        <is>
          <t>동물형</t>
        </is>
      </c>
      <c r="F7" s="36" t="inlineStr">
        <is>
          <t>에픽</t>
        </is>
      </c>
      <c r="G7" s="33" t="inlineStr">
        <is>
          <t>땅속에 숨은 열기를 찾아내는 정령이다. 
꺼진 불씨 주변을 돌며 마력을 
불어넣어 다시 타오르게 한다.</t>
        </is>
      </c>
      <c r="H7" s="33" t="inlineStr">
        <is>
          <t>#5e4037</t>
        </is>
      </c>
      <c r="I7" s="33" t="inlineStr">
        <is>
          <t>대장장이의 화로가 식어 버렸습니다.
 화로속에는 땅속의 열기와 오래된 마력이 
아직 남아 있고, 태양빛을 머금은 
결정도 희미하게 빛나고 있습니다.</t>
        </is>
      </c>
      <c r="J7" s="33" t="inlineStr">
        <is>
          <t>열정, 수정, 땅속 열기, 
부활, 마력</t>
        </is>
      </c>
      <c r="K7" s="33" t="inlineStr">
        <is>
          <t>#EF965E</t>
        </is>
      </c>
      <c r="L7" s="37" t="inlineStr">
        <is>
          <t>이그니</t>
        </is>
      </c>
      <c r="M7" s="51" t="n">
        <v>96</v>
      </c>
      <c r="N7" s="34" t="inlineStr">
        <is>
          <t>솔라스</t>
        </is>
      </c>
      <c r="O7" s="52" t="n">
        <v>75</v>
      </c>
      <c r="P7" s="40" t="inlineStr">
        <is>
          <t>이그니: 의뢰 30+14+15+7=66 / 재료 15+10+5=30 / 총 96
솔라스: 의뢰 26+11+15+8=60 / 재료 8+5+2=15 / 총 75
솔라스는 넓은 곳에 열을 전달하지만 작은 불씨를 되살리는 능력은 이그니가 더 적합하다.</t>
        </is>
      </c>
      <c r="Q7" s="46" t="inlineStr">
        <is>
          <t>“꺼진 줄 알았던 불씨도 가까이 보면 아직 따뜻해.”</t>
        </is>
      </c>
      <c r="R7" s="43" t="inlineStr">
        <is>
          <t>“조금 지쳤어? 
내가 네 곁에서 작은 온기를 지켜 줄게.”</t>
        </is>
      </c>
      <c r="S7" s="46" t="inlineStr">
        <is>
          <t>“다시 타오르기 위해 잠시 작아지는 불꽃도 있어.”</t>
        </is>
      </c>
      <c r="T7" t="inlineStr">
        <is>
          <t>불꽃이 계속 타오르려면 열과 공기와 머물 곳이 모두 필요해.</t>
        </is>
      </c>
      <c r="U7" t="inlineStr">
        <is>
          <t>재 속의 작은 불씨는 겉으로 보이지 않아도 오랫동안 온기를 품고 있어.</t>
        </is>
      </c>
      <c r="V7" t="inlineStr">
        <is>
          <t>불은 가진 온기를 주변으로 나누면서 빛을 만들어.</t>
        </is>
      </c>
    </row>
    <row r="8" ht="91.5" customHeight="1" s="45">
      <c r="A8" s="41" t="n">
        <v>7</v>
      </c>
      <c r="B8" s="26" t="inlineStr">
        <is>
          <t xml:space="preserve">달 → 물 → 별 </t>
        </is>
      </c>
      <c r="C8" s="29" t="inlineStr">
        <is>
          <t>노바</t>
        </is>
      </c>
      <c r="D8" s="26" t="inlineStr">
        <is>
          <t>보라빛 신비</t>
        </is>
      </c>
      <c r="E8" s="26" t="inlineStr">
        <is>
          <t>정령형</t>
        </is>
      </c>
      <c r="F8" s="24" t="inlineStr">
        <is>
          <t>레어</t>
        </is>
      </c>
      <c r="G8" s="26" t="inlineStr">
        <is>
          <t>밤의 호수에 머물던 노래가
달빛을 만나 태어난 정령이다. 
물결 위에 별빛 음표를 띄워 
멀리 떨어진 이에게 마음을 전한다.</t>
        </is>
      </c>
      <c r="H8" s="26" t="inlineStr">
        <is>
          <t>#614e73</t>
        </is>
      </c>
      <c r="I8" s="26" t="inlineStr">
        <is>
          <t>호수 건너편으로 노랫소리가 들립니다. 
달빛은 잔잔한 물결을  따라 흐르고, 
별빛은 흩어진 마음을 이어 준다고 합니다.</t>
        </is>
      </c>
      <c r="J8" s="26" t="inlineStr">
        <is>
          <t>달빛, 파동, 물결, 밤하늘</t>
        </is>
      </c>
      <c r="K8" s="26" t="inlineStr">
        <is>
          <t>#CDA0F3</t>
        </is>
      </c>
      <c r="L8" s="27" t="inlineStr">
        <is>
          <t>노바</t>
        </is>
      </c>
      <c r="M8" s="49" t="n">
        <v>95</v>
      </c>
      <c r="N8" s="29" t="inlineStr">
        <is>
          <t>루멘</t>
        </is>
      </c>
      <c r="O8" s="50" t="n">
        <v>74</v>
      </c>
      <c r="P8" s="31" t="inlineStr">
        <is>
          <t>노바: 의뢰 30+13+14+8=65 / 재료 15+10+5=30 / 총 95
루멘: 의뢰 24+13+15+7=59 / 재료 8+5+2=15 / 총 74
루멘은 같은 재료군과 잘 맞지만 빛과 기억이 중심이며 노래 전달 능력은 약하다.</t>
        </is>
      </c>
      <c r="Q8" s="43" t="inlineStr">
        <is>
          <t>“전하지 못한 마음은 
밤의 물결 위에서 계속 노래하고 있어.”</t>
        </is>
      </c>
      <c r="R8" s="46" t="inlineStr">
        <is>
          <t>“네가 하고 싶었던 말, 내가 별빛에 실어 보내 줄까?”</t>
        </is>
      </c>
      <c r="S8" s="46" t="inlineStr">
        <is>
          <t>“진심은 늦게 도착해도 결국 누군가의 마음에 닿아.”</t>
        </is>
      </c>
      <c r="T8" t="inlineStr">
        <is>
          <t>목소리는 공기의 작은 떨림이 이어져 누군가에게 닿는 거래.</t>
        </is>
      </c>
      <c r="U8" t="inlineStr">
        <is>
          <t>물결과 노래는 모두 떨림으로 멀리 마음을 전해.</t>
        </is>
      </c>
      <c r="V8" t="inlineStr">
        <is>
          <t>아주 작은 소리도 조용한 밤에는 예상보다 멀리 갈 수 있어.</t>
        </is>
      </c>
    </row>
    <row r="9" ht="91.5" customHeight="1" s="45">
      <c r="A9" s="41" t="n">
        <v>8</v>
      </c>
      <c r="B9" s="26" t="inlineStr">
        <is>
          <t xml:space="preserve">별 → 달 → 물 </t>
        </is>
      </c>
      <c r="C9" s="29" t="inlineStr">
        <is>
          <t>루멘</t>
        </is>
      </c>
      <c r="D9" s="26" t="inlineStr">
        <is>
          <t>차가운 푸른빛</t>
        </is>
      </c>
      <c r="E9" s="26" t="inlineStr">
        <is>
          <t>정령형</t>
        </is>
      </c>
      <c r="F9" s="24" t="inlineStr">
        <is>
          <t>레어</t>
        </is>
      </c>
      <c r="G9" s="26" t="inlineStr">
        <is>
          <t>호수에 비친 별빛과 달빛을 모아 
흐려진 기억을 다시 비춘다. 
말로 떠올리지 못하는 장면도 
물 위의 빛으로 보여준다.</t>
        </is>
      </c>
      <c r="H9" s="26" t="inlineStr">
        <is>
          <t>#414766</t>
        </is>
      </c>
      <c r="I9" s="26" t="inlineStr">
        <is>
          <t>[탐험 기록 일지 283]
달의 호수 위에 희미한 별빛이 보임. 
그 아래에는 꽃잎 하나가 사라진 
기억처럼 천천히 떠다니고 있음.</t>
        </is>
      </c>
      <c r="J9" s="26" t="inlineStr">
        <is>
          <t>유동, 별빛, 달밤, 만개, 기적</t>
        </is>
      </c>
      <c r="K9" s="26" t="inlineStr">
        <is>
          <t>#CFD2FB</t>
        </is>
      </c>
      <c r="L9" s="27" t="inlineStr">
        <is>
          <t>루멘</t>
        </is>
      </c>
      <c r="M9" s="49" t="n">
        <v>95</v>
      </c>
      <c r="N9" s="29" t="inlineStr">
        <is>
          <t>소요</t>
        </is>
      </c>
      <c r="O9" s="50" t="n">
        <v>73</v>
      </c>
      <c r="P9" s="31" t="inlineStr">
        <is>
          <t>루멘: 의뢰 30+14+13+8=65 / 재료 15+10+5=30 / 총 95
소요: 의뢰 24+12+14+8=58 / 재료 8+5+2=15 / 총 73
소요도 무언가를 간직하지만 흐려진 기억을 직접 비추는 능력은 루멘이 더 정확하다.</t>
        </is>
      </c>
      <c r="Q9" s="43" t="inlineStr">
        <is>
          <t>“흐려진 기억도 네 마음에 남긴 
온기까지 사라지진 않아.”</t>
        </is>
      </c>
      <c r="R9" s="43" t="inlineStr">
        <is>
          <t>“잊었다고 생각한 장면도 
빛을 비추면 다시 떠오를 수 있어.”</t>
        </is>
      </c>
      <c r="S9" s="46" t="inlineStr">
        <is>
          <t>“오늘 기억하고 싶은 순간이 있다면 내게 보여 줘.”</t>
        </is>
      </c>
      <c r="T9" t="inlineStr">
        <is>
          <t>물 위의 빛은 물결이 움직일 때마다 새로운 모습으로 비쳐.</t>
        </is>
      </c>
      <c r="U9" t="inlineStr">
        <is>
          <t>같은 별을 바라봐도 빛이 닿는 각도에 따라 다르게 보인대.</t>
        </is>
      </c>
      <c r="V9" t="inlineStr">
        <is>
          <t>빛은 사라진 게 아니라, 때로는 우리가 보지 못하는 방향으로 향하고 있어.</t>
        </is>
      </c>
    </row>
    <row r="10" ht="91.5" customHeight="1" s="45">
      <c r="A10" s="32" t="n">
        <v>9</v>
      </c>
      <c r="B10" s="33" t="inlineStr">
        <is>
          <t>태양 → 불 → 보석</t>
        </is>
      </c>
      <c r="C10" s="34" t="inlineStr">
        <is>
          <t>솔라스</t>
        </is>
      </c>
      <c r="D10" s="33" t="inlineStr">
        <is>
          <t>따뜻한 골드</t>
        </is>
      </c>
      <c r="E10" s="33" t="inlineStr">
        <is>
          <t>정령형</t>
        </is>
      </c>
      <c r="F10" s="36" t="inlineStr">
        <is>
          <t>에픽</t>
        </is>
      </c>
      <c r="G10" s="42" t="inlineStr">
        <is>
          <t>태양의 빛을 몸속 결정에 담아 
식어 가는 불씨를 다시 밝히는 정령이다. 
오래 잠든 화로를 찾아다니며 
사라져 가는 온기를 세상에 되돌려 준다.</t>
        </is>
      </c>
      <c r="H10" s="33" t="inlineStr">
        <is>
          <t>#7d5544</t>
        </is>
      </c>
      <c r="I10" s="33" t="inlineStr">
        <is>
          <t>긴 겨울은 끝났지만 마을은 
아직 차갑습니다. 태양을 품은 결정일까요, 
땅속 깊은 열기와 오래된 마력일까요?</t>
        </is>
      </c>
      <c r="J10" s="33" t="inlineStr">
        <is>
          <t>햇빛, 온기, 점화, 생명, 빛</t>
        </is>
      </c>
      <c r="K10" s="33" t="inlineStr">
        <is>
          <t>#FEC082</t>
        </is>
      </c>
      <c r="L10" s="37" t="inlineStr">
        <is>
          <t>솔라스</t>
        </is>
      </c>
      <c r="M10" s="51" t="n">
        <v>94</v>
      </c>
      <c r="N10" s="34" t="inlineStr">
        <is>
          <t>이그니</t>
        </is>
      </c>
      <c r="O10" s="52" t="n">
        <v>76</v>
      </c>
      <c r="P10" s="40" t="inlineStr">
        <is>
          <t>솔라스: 의뢰 30+12+15+7=64 / 재료 15+10+5=30 / 총 94
이그니: 의뢰 26+10+15+10=61 / 재료 8+5+2=15 / 총 76
이그니는 불씨를 되살릴 수 있지만 넓은 지역의 얼음을 녹이는 힘은 솔라스보다 약하다.</t>
        </is>
      </c>
      <c r="Q10" s="46" t="inlineStr">
        <is>
          <t>“추운 하루였지? 내가 조금 따뜻하게 밝혀 줄게.”</t>
        </is>
      </c>
      <c r="R10" s="46" t="inlineStr">
        <is>
          <t>“태양의 빛은 작은 결정 속에서도 오래 머물 수 있어.”</t>
        </is>
      </c>
      <c r="S10" s="46" t="inlineStr">
        <is>
          <t>“따뜻함은 크기보다 오래 지켜 주는 마음에서 생겨.”</t>
        </is>
      </c>
      <c r="T10" t="inlineStr">
        <is>
          <t>식물은 햇빛을 받아 살아갈 에너지로 바꾸어 간직해.</t>
        </is>
      </c>
      <c r="U10" t="inlineStr">
        <is>
          <t>결정은 빛을 통과시키면서 여러 방향으로 나누어 보내기도 해.</t>
        </is>
      </c>
      <c r="V10" t="inlineStr">
        <is>
          <t>태양의 온기는 아주 먼 거리를 지나 오늘 네 곁까지 도착했어.</t>
        </is>
      </c>
    </row>
    <row r="11" ht="91.5" customHeight="1" s="45">
      <c r="A11" s="41" t="n">
        <v>10</v>
      </c>
      <c r="B11" s="26" t="inlineStr">
        <is>
          <t>마법 → 에테르 → 보석</t>
        </is>
      </c>
      <c r="C11" s="29" t="inlineStr">
        <is>
          <t>누비</t>
        </is>
      </c>
      <c r="D11" s="26" t="inlineStr">
        <is>
          <t>보라빛 신비</t>
        </is>
      </c>
      <c r="E11" s="26" t="inlineStr">
        <is>
          <t>고대형</t>
        </is>
      </c>
      <c r="F11" s="24" t="inlineStr">
        <is>
          <t>레어</t>
        </is>
      </c>
      <c r="G11" s="26" t="inlineStr">
        <is>
          <t>오래된 주문과 기록이 뭉쳐 태어난 고대 정령이다.
사라지는 글자와 이야기를
작은 결정에 새겨 잊히지 않게 보존한다.</t>
        </is>
      </c>
      <c r="H11" s="26" t="inlineStr">
        <is>
          <t>#4b425c</t>
        </is>
      </c>
      <c r="I11" s="26" t="inlineStr">
        <is>
          <t>고대 서고의 사서가 헐레벌떡 달려왔습니다. 
"책의 글자가 사라지고 있어요!" 
신비로운 기운과 작은 태양의 결정만이 
책을 지키고 있습니다.</t>
        </is>
      </c>
      <c r="J11" s="26" t="inlineStr">
        <is>
          <t>광휘, 지식, 보존, 결정, 신비, 힘</t>
        </is>
      </c>
      <c r="K11" s="26" t="inlineStr">
        <is>
          <t>#BC94FC</t>
        </is>
      </c>
      <c r="L11" s="27" t="inlineStr">
        <is>
          <t>누비</t>
        </is>
      </c>
      <c r="M11" s="49" t="n">
        <v>94</v>
      </c>
      <c r="N11" s="29" t="inlineStr">
        <is>
          <t>오르비스</t>
        </is>
      </c>
      <c r="O11" s="50" t="n">
        <v>71</v>
      </c>
      <c r="P11" s="31" t="inlineStr">
        <is>
          <t>누비: 의뢰 30+14+14+6=64 / 재료 15+10+5=30 / 총 94
오르비스: 의뢰 24+14+13+5=56 / 재료 8+5+2=15 / 총 71
오르비스도 고대 결정을 다루지만 기록보다 봉인과 방어에 특화되어 있다.</t>
        </is>
      </c>
      <c r="Q11" s="43" t="inlineStr">
        <is>
          <t>“사라지는 이야기는 
내가 작은 결정에 새겨 두고 있어.”</t>
        </is>
      </c>
      <c r="R11" s="46" t="inlineStr">
        <is>
          <t>“잊고 싶지 않은 말이 있다면 천천히 들려줘.”</t>
        </is>
      </c>
      <c r="S11" s="43" t="inlineStr">
        <is>
          <t>“기록하지 못한 순간도 
네 안에서는 의미를 잃지 않아.”</t>
        </is>
      </c>
      <c r="T11" t="inlineStr">
        <is>
          <t>기록은 한 사람의 기억을 다른 시간까지 데려갈 수 있어.</t>
        </is>
      </c>
      <c r="U11" t="inlineStr">
        <is>
          <t>오래된 글자가 남아 있다는 건 누군가의 생각이 아직 여기에 있다는 뜻이야.</t>
        </is>
      </c>
      <c r="V11" t="inlineStr">
        <is>
          <t>작은 결정도 일정한 구조가 반복되며 단단한 형태를 만들어.</t>
        </is>
      </c>
    </row>
    <row r="12" ht="91.5" customHeight="1" s="45">
      <c r="A12" s="41" t="n">
        <v>11</v>
      </c>
      <c r="B12" s="26" t="inlineStr">
        <is>
          <t>에테르 → 물 → 달</t>
        </is>
      </c>
      <c r="C12" s="29" t="inlineStr">
        <is>
          <t>에리온</t>
        </is>
      </c>
      <c r="D12" s="26" t="inlineStr">
        <is>
          <t>차가운 푸른빛</t>
        </is>
      </c>
      <c r="E12" s="26" t="inlineStr">
        <is>
          <t>고대형</t>
        </is>
      </c>
      <c r="F12" s="24" t="inlineStr">
        <is>
          <t>에픽</t>
        </is>
      </c>
      <c r="G12" s="26" t="inlineStr">
        <is>
          <t>사라지는 기억을 고요한 물결 속에
봉인하는 고대 수호 정령이다.
달이 뜨는 밤이면 보존된 기억을 잠시 비춰준다.</t>
        </is>
      </c>
      <c r="H12" s="26" t="inlineStr">
        <is>
          <t>#363c5a</t>
        </is>
      </c>
      <c r="I12" s="26" t="inlineStr">
        <is>
          <t>노인의 기억 속 소중했던 얼굴이 
점점 흐려지고 있습니다. 달빛 호수에서는 
별빛과 신비로운 물결이 
잊혀진 기억을 비춘다고 합니다.</t>
        </is>
      </c>
      <c r="J12" s="26" t="inlineStr">
        <is>
          <t>무한, 소원, 물결, 달빛, 그리움</t>
        </is>
      </c>
      <c r="K12" s="26" t="inlineStr">
        <is>
          <t>#8CCEFF</t>
        </is>
      </c>
      <c r="L12" s="27" t="inlineStr">
        <is>
          <t>에리온</t>
        </is>
      </c>
      <c r="M12" s="49" t="n">
        <v>95</v>
      </c>
      <c r="N12" s="29" t="inlineStr">
        <is>
          <t>노바</t>
        </is>
      </c>
      <c r="O12" s="50" t="n">
        <v>72</v>
      </c>
      <c r="P12" s="31" t="inlineStr">
        <is>
          <t>에리온: 의뢰 30+14+13+8=65 / 재료 15+10+5=30 / 총 95
노바: 의뢰 23+13+14+7=57 / 재료 8+5+2=15 / 총 72
노바는 감정을 전달하지만 기억을 장기간 보존하는 능력은 부족하다.</t>
        </is>
      </c>
      <c r="Q12" s="43" t="inlineStr">
        <is>
          <t>“기억이 흐려져도 
그 사람을 아꼈던 마음은 남아 있어.”</t>
        </is>
      </c>
      <c r="R12" s="43" t="inlineStr">
        <is>
          <t>“소중한 기억은 고요한 물결 속에 
잠시 쉬고 있을 뿐이야.”</t>
        </is>
      </c>
      <c r="S12" s="43" t="inlineStr">
        <is>
          <t>“오늘 떠오른 얼굴이 있다면 
내가 달빛으로 비춰 줄게.”</t>
        </is>
      </c>
      <c r="T12" t="inlineStr">
        <is>
          <t>달의 중력은 아주 멀리서도 바다의 밀물과 썰물에 영향을 준대.</t>
        </is>
      </c>
      <c r="U12" t="inlineStr">
        <is>
          <t>물결은 지나가도 그 움직임은 다른 물결로 계속 이어져.</t>
        </is>
      </c>
      <c r="V12" t="inlineStr">
        <is>
          <t>고요한 물도 멈춰 있는 건 아니야. 아주 작은 움직임을 계속 품고 있어.</t>
        </is>
      </c>
    </row>
    <row r="13" ht="91.5" customHeight="1" s="45">
      <c r="A13" s="32" t="n">
        <v>12</v>
      </c>
      <c r="B13" s="33" t="inlineStr">
        <is>
          <t>보석 → 태양 → 에테르</t>
        </is>
      </c>
      <c r="C13" s="34" t="inlineStr">
        <is>
          <t>오르비스</t>
        </is>
      </c>
      <c r="D13" s="33" t="inlineStr">
        <is>
          <t>따뜻한 골드</t>
        </is>
      </c>
      <c r="E13" s="33" t="inlineStr">
        <is>
          <t>고대형</t>
        </is>
      </c>
      <c r="F13" s="36" t="inlineStr">
        <is>
          <t>전설</t>
        </is>
      </c>
      <c r="G13" s="33" t="inlineStr">
        <is>
          <t>오래된 세계의 경계를 지키도록
만들어진 수정 수호 정령이다.
태양빛을 결정에 응축해 균열과 어둠을 봉인한다.</t>
        </is>
      </c>
      <c r="H13" s="33" t="inlineStr">
        <is>
          <t>#6d513a</t>
        </is>
      </c>
      <c r="I13" s="33" t="inlineStr">
        <is>
          <t>[탐험 기록 일지 217]
고대 유적 봉인에 균열 발생. 결정은 
남아 있으나 빛이 약해지고, 
오래된 주문의 흔적도 함께 사라짐.</t>
        </is>
      </c>
      <c r="J13" s="33" t="inlineStr">
        <is>
          <t>고대, 유적, 봉인, 빛, 결정, 원소</t>
        </is>
      </c>
      <c r="K13" s="33" t="inlineStr">
        <is>
          <t>#FDEDC2</t>
        </is>
      </c>
      <c r="L13" s="37" t="inlineStr">
        <is>
          <t>오르비스</t>
        </is>
      </c>
      <c r="M13" s="51" t="n">
        <v>98</v>
      </c>
      <c r="N13" s="34" t="inlineStr">
        <is>
          <t>누비</t>
        </is>
      </c>
      <c r="O13" s="52" t="n">
        <v>69</v>
      </c>
      <c r="P13" s="40" t="inlineStr">
        <is>
          <t>오르비스: 의뢰 30+15+15+8=68 / 재료 15+10+5=30 / 총 98
누비: 의뢰 21+13+14+6=54 / 재료 8+5+2=15 / 총 69
누비는 고대 지식을 보존하지만 세계의 균열을 봉인하는 방어 능력은 약하다.</t>
        </is>
      </c>
      <c r="Q13" s="43" t="inlineStr">
        <is>
          <t>“강하다는 건 무너지지 않는 게 아니라, 
다시 세우는 일이야.”</t>
        </is>
      </c>
      <c r="R13" s="43" t="inlineStr">
        <is>
          <t>“아주 작은 균열도 오래 두면 
어둠이 스며들 수 있어.”</t>
        </is>
      </c>
      <c r="S13" s="43" t="inlineStr">
        <is>
          <t>“네가 지키고 싶은 것이 있다면 
내 결정 곁에 맡겨 둬.”</t>
        </is>
      </c>
      <c r="T13" t="inlineStr">
        <is>
          <t>결정은 작은 입자들이 질서를 이루며 아주 천천히 자라나.</t>
        </is>
      </c>
      <c r="U13" t="inlineStr">
        <is>
          <t>단단한 돌에도 작은 틈은 있지만, 그 틈이 빛이 들어오는 길이 되기도 해.</t>
        </is>
      </c>
      <c r="V13" t="inlineStr">
        <is>
          <t>세상의 경계는 한 번에 만들어진 것이 아니라 작은 층이 쌓여 완성된 거야.</t>
        </is>
      </c>
    </row>
  </sheetData>
  <conditionalFormatting sqref="F2:F13">
    <cfRule type="expression" priority="1" dxfId="3">
      <formula>F2="일반"</formula>
    </cfRule>
    <cfRule type="expression" priority="2" dxfId="2">
      <formula>F2="레어"</formula>
    </cfRule>
    <cfRule type="expression" priority="3" dxfId="1">
      <formula>F2="에픽"</formula>
    </cfRule>
    <cfRule type="expression" priority="4" dxfId="0">
      <formula>F2="전설"</formula>
    </cfRule>
  </conditionalFormatting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10" defaultColWidth="12.6640625" defaultRowHeight="15" customHeight="1"/>
  <cols>
    <col width="22" customWidth="1" style="45" min="1" max="1"/>
    <col width="28" customWidth="1" style="45" min="2" max="2"/>
    <col width="16" customWidth="1" style="45" min="3" max="3"/>
    <col width="48" customWidth="1" style="45" min="4" max="4"/>
    <col width="8.6640625" customWidth="1" style="45" min="5" max="26"/>
  </cols>
  <sheetData>
    <row r="1" ht="27.75" customHeight="1" s="45">
      <c r="A1" s="44" t="inlineStr">
        <is>
          <t>Spiria 의뢰서–정령 일치율 계산 기준</t>
        </is>
      </c>
    </row>
    <row r="3" ht="18" customHeight="1" s="45">
      <c r="A3" s="1" t="inlineStr">
        <is>
          <t>구분</t>
        </is>
      </c>
      <c r="B3" s="2" t="inlineStr">
        <is>
          <t>세부 기준</t>
        </is>
      </c>
      <c r="C3" s="2" t="inlineStr">
        <is>
          <t>최대 점수</t>
        </is>
      </c>
      <c r="D3" s="3" t="inlineStr">
        <is>
          <t>설명</t>
        </is>
      </c>
    </row>
    <row r="4" ht="36" customHeight="1" s="45">
      <c r="A4" s="4" t="inlineStr">
        <is>
          <t>의뢰 적합도</t>
        </is>
      </c>
      <c r="B4" s="5" t="inlineStr">
        <is>
          <t>핵심 역할 일치</t>
        </is>
      </c>
      <c r="C4" s="5" t="n">
        <v>30</v>
      </c>
      <c r="D4" s="6" t="inlineStr">
        <is>
          <t>의뢰가 요구하는 기능과 정령의 주 역할이 얼마나 일치하는지</t>
        </is>
      </c>
    </row>
    <row r="5" ht="18" customHeight="1" s="45">
      <c r="A5" s="4" t="inlineStr">
        <is>
          <t>의뢰 적합도</t>
        </is>
      </c>
      <c r="B5" s="5" t="inlineStr">
        <is>
          <t>환경·상황 일치</t>
        </is>
      </c>
      <c r="C5" s="5" t="n">
        <v>15</v>
      </c>
      <c r="D5" s="6" t="inlineStr">
        <is>
          <t>숲, 호수, 협곡, 설원, 유적 등 배경과 상황의 일치 정도</t>
        </is>
      </c>
    </row>
    <row r="6" ht="18" customHeight="1" s="45">
      <c r="A6" s="4" t="inlineStr">
        <is>
          <t>의뢰 적합도</t>
        </is>
      </c>
      <c r="B6" s="5" t="inlineStr">
        <is>
          <t>속성·이미지 일치</t>
        </is>
      </c>
      <c r="C6" s="5" t="n">
        <v>15</v>
      </c>
      <c r="D6" s="6" t="inlineStr">
        <is>
          <t>꽃, 바람, 별빛, 불꽃, 결정 등 핵심 이미지의 일치 정도</t>
        </is>
      </c>
    </row>
    <row r="7" ht="18" customHeight="1" s="45">
      <c r="A7" s="4" t="inlineStr">
        <is>
          <t>의뢰 적합도</t>
        </is>
      </c>
      <c r="B7" s="5" t="inlineStr">
        <is>
          <t>감정·분위기 일치</t>
        </is>
      </c>
      <c r="C7" s="5" t="n">
        <v>10</v>
      </c>
      <c r="D7" s="6" t="inlineStr">
        <is>
          <t>희망, 그리움, 고요함, 위기감 등 정서의 일치 정도</t>
        </is>
      </c>
    </row>
    <row r="8" ht="18" customHeight="1" s="45">
      <c r="A8" s="4" t="inlineStr">
        <is>
          <t>재료·순서 적합도</t>
        </is>
      </c>
      <c r="B8" s="5" t="inlineStr">
        <is>
          <t>첫 번째 재료</t>
        </is>
      </c>
      <c r="C8" s="5" t="n">
        <v>15</v>
      </c>
      <c r="D8" s="6" t="inlineStr">
        <is>
          <t>형태와 캐릭터 유형 결정</t>
        </is>
      </c>
    </row>
    <row r="9" ht="18" customHeight="1" s="45">
      <c r="A9" s="4" t="inlineStr">
        <is>
          <t>재료·순서 적합도</t>
        </is>
      </c>
      <c r="B9" s="5" t="inlineStr">
        <is>
          <t>두 번째 재료</t>
        </is>
      </c>
      <c r="C9" s="5" t="n">
        <v>10</v>
      </c>
      <c r="D9" s="6" t="inlineStr">
        <is>
          <t>색감과 주요 특징 결정</t>
        </is>
      </c>
    </row>
    <row r="10" ht="18" customHeight="1" s="45">
      <c r="A10" s="7" t="inlineStr">
        <is>
          <t>판정 구간</t>
        </is>
      </c>
      <c r="B10" s="8" t="inlineStr">
        <is>
          <t>점수 범위</t>
        </is>
      </c>
      <c r="C10" s="8" t="inlineStr">
        <is>
          <t>표현</t>
        </is>
      </c>
      <c r="D10" s="9" t="inlineStr">
        <is>
          <t>비고</t>
        </is>
      </c>
    </row>
    <row r="11" ht="18" customHeight="1" s="45">
      <c r="A11" s="4" t="inlineStr">
        <is>
          <t>완벽한 일치</t>
        </is>
      </c>
      <c r="B11" s="5" t="inlineStr">
        <is>
          <t>90~100%</t>
        </is>
      </c>
      <c r="C11" s="5" t="inlineStr">
        <is>
          <t>완벽한 일치</t>
        </is>
      </c>
      <c r="D11" s="6" t="inlineStr">
        <is>
          <t>정답 정령 대부분이 이 구간</t>
        </is>
      </c>
    </row>
    <row r="12" ht="18" customHeight="1" s="45">
      <c r="A12" s="4" t="inlineStr">
        <is>
          <t>높은 일치</t>
        </is>
      </c>
      <c r="B12" s="5" t="inlineStr">
        <is>
          <t>75~89%</t>
        </is>
      </c>
      <c r="C12" s="5" t="inlineStr">
        <is>
          <t>높은 일치</t>
        </is>
      </c>
      <c r="D12" s="6" t="inlineStr">
        <is>
          <t>강한 후보</t>
        </is>
      </c>
    </row>
    <row r="13" ht="18" customHeight="1" s="45">
      <c r="A13" s="4" t="inlineStr">
        <is>
          <t>보통 일치</t>
        </is>
      </c>
      <c r="B13" s="5" t="inlineStr">
        <is>
          <t>60~74%</t>
        </is>
      </c>
      <c r="C13" s="5" t="inlineStr">
        <is>
          <t>보통 일치</t>
        </is>
      </c>
      <c r="D13" s="6" t="inlineStr">
        <is>
          <t>비교 후보 다수</t>
        </is>
      </c>
    </row>
    <row r="14" ht="18" customHeight="1" s="45">
      <c r="A14" s="4" t="inlineStr">
        <is>
          <t>낮은 일치</t>
        </is>
      </c>
      <c r="B14" s="5" t="inlineStr">
        <is>
          <t>40~59%</t>
        </is>
      </c>
      <c r="C14" s="5" t="inlineStr">
        <is>
          <t>낮은 일치</t>
        </is>
      </c>
      <c r="D14" s="6" t="inlineStr">
        <is>
          <t>부분 적합</t>
        </is>
      </c>
    </row>
    <row r="15" ht="17" customHeight="1" s="45">
      <c r="A15" s="4" t="n"/>
      <c r="B15" s="5" t="n"/>
      <c r="C15" s="5" t="n"/>
      <c r="D15" s="6" t="n"/>
    </row>
    <row r="16" ht="18" customHeight="1" s="45">
      <c r="A16" s="7" t="inlineStr">
        <is>
          <t>동일 재료·다른 순서 예시</t>
        </is>
      </c>
      <c r="B16" s="8" t="inlineStr">
        <is>
          <t>레시피</t>
        </is>
      </c>
      <c r="C16" s="8" t="inlineStr">
        <is>
          <t>유형</t>
        </is>
      </c>
      <c r="D16" s="9" t="inlineStr">
        <is>
          <t>결과 정령</t>
        </is>
      </c>
    </row>
    <row r="17" ht="18" customHeight="1" s="45">
      <c r="A17" s="4" t="inlineStr">
        <is>
          <t>예시 1</t>
        </is>
      </c>
      <c r="B17" s="5" t="inlineStr">
        <is>
          <t>물 → 달 → 별</t>
        </is>
      </c>
      <c r="C17" s="5" t="inlineStr">
        <is>
          <t>동물형</t>
        </is>
      </c>
      <c r="D17" s="6" t="inlineStr">
        <is>
          <t>플레오</t>
        </is>
      </c>
    </row>
    <row r="18" ht="18" customHeight="1" s="45">
      <c r="A18" s="4" t="inlineStr">
        <is>
          <t>예시 2</t>
        </is>
      </c>
      <c r="B18" s="5" t="inlineStr">
        <is>
          <t>달 → 물 → 별</t>
        </is>
      </c>
      <c r="C18" s="5" t="inlineStr">
        <is>
          <t>정령형</t>
        </is>
      </c>
      <c r="D18" s="6" t="inlineStr">
        <is>
          <t>노바</t>
        </is>
      </c>
    </row>
    <row r="19" ht="36" customHeight="1" s="45">
      <c r="A19" s="10" t="inlineStr">
        <is>
          <t>설명</t>
        </is>
      </c>
      <c r="B19" s="12" t="inlineStr">
        <is>
          <t>첫 번째 재료가 형태와 유형을 결정</t>
        </is>
      </c>
      <c r="C19" s="12" t="n"/>
      <c r="D19" s="13" t="n"/>
    </row>
    <row r="21" ht="15.75" customHeight="1" s="45"/>
    <row r="22" ht="15.75" customHeight="1" s="45"/>
    <row r="23" ht="15.75" customHeight="1" s="45"/>
    <row r="24" ht="15.75" customHeight="1" s="45"/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1">
    <mergeCell ref="A1:D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2026-08-04T15:54:38Z</dcterms:created>
  <dcterms:modified xsi:type="dcterms:W3CDTF">2026-08-06T08:16:56Z</dcterms:modified>
  <cp:lastModifiedBy>dawoon kim</cp:lastModifiedBy>
</cp:coreProperties>
</file>