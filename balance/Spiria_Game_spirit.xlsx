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정령·의뢰서 합본" sheetId="1" r:id="rId5"/>
    <sheet state="visible" name="일치율 계산 기준" sheetId="2" r:id="rId6"/>
  </sheets>
  <definedNames/>
  <calcPr/>
</workbook>
</file>

<file path=xl/sharedStrings.xml><?xml version="1.0" encoding="utf-8"?>
<sst xmlns="http://schemas.openxmlformats.org/spreadsheetml/2006/main" count="229" uniqueCount="168">
  <si>
    <t>Spiria 의뢰서–정령 일치율 계산 기준</t>
  </si>
  <si>
    <t>구분</t>
  </si>
  <si>
    <t>세부 기준</t>
  </si>
  <si>
    <t>최대 점수</t>
  </si>
  <si>
    <t>설명</t>
  </si>
  <si>
    <t>의뢰 적합도</t>
  </si>
  <si>
    <t>핵심 역할 일치</t>
  </si>
  <si>
    <t>의뢰가 요구하는 기능과 정령의 주 역할이 얼마나 일치하는지</t>
  </si>
  <si>
    <t>환경·상황 일치</t>
  </si>
  <si>
    <t>숲, 호수, 협곡, 설원, 유적 등 배경과 상황의 일치 정도</t>
  </si>
  <si>
    <t>속성·이미지 일치</t>
  </si>
  <si>
    <t>꽃, 바람, 별빛, 불꽃, 결정 등 핵심 이미지의 일치 정도</t>
  </si>
  <si>
    <t>감정·분위기 일치</t>
  </si>
  <si>
    <t>희망, 그리움, 고요함, 위기감 등 정서의 일치 정도</t>
  </si>
  <si>
    <t>재료·순서 적합도</t>
  </si>
  <si>
    <t>첫 번째 재료</t>
  </si>
  <si>
    <t>형태와 캐릭터 유형 결정</t>
  </si>
  <si>
    <t>두 번째 재료</t>
  </si>
  <si>
    <t>색감과 주요 특징 결정</t>
  </si>
  <si>
    <t>판정 구간</t>
  </si>
  <si>
    <t>점수 범위</t>
  </si>
  <si>
    <t>표현</t>
  </si>
  <si>
    <t>비고</t>
  </si>
  <si>
    <t>완벽한 일치</t>
  </si>
  <si>
    <t>90~100%</t>
  </si>
  <si>
    <t>정답 정령 대부분이 이 구간</t>
  </si>
  <si>
    <t>높은 일치</t>
  </si>
  <si>
    <t>75~89%</t>
  </si>
  <si>
    <t>강한 후보</t>
  </si>
  <si>
    <t>보통 일치</t>
  </si>
  <si>
    <t>60~74%</t>
  </si>
  <si>
    <t>비교 후보 다수</t>
  </si>
  <si>
    <t>낮은 일치</t>
  </si>
  <si>
    <t>40~59%</t>
  </si>
  <si>
    <t>부분 적합</t>
  </si>
  <si>
    <t>동일 재료·다른 순서 예시</t>
  </si>
  <si>
    <t>레시피</t>
  </si>
  <si>
    <t>No.</t>
  </si>
  <si>
    <t>유형</t>
  </si>
  <si>
    <t>결과 정령</t>
  </si>
  <si>
    <t>예시 1</t>
  </si>
  <si>
    <t>물 → 달 → 별</t>
  </si>
  <si>
    <t>동물형</t>
  </si>
  <si>
    <t>플레오</t>
  </si>
  <si>
    <t>예시 2</t>
  </si>
  <si>
    <t>달 → 물 → 별</t>
  </si>
  <si>
    <t>정령형</t>
  </si>
  <si>
    <t>노바</t>
  </si>
  <si>
    <t>첫 번째 재료가 형태와 유형을 결정</t>
  </si>
  <si>
    <t>조합 순서 (1→2→3)</t>
  </si>
  <si>
    <t>정령명</t>
  </si>
  <si>
    <t>상세 배경 톤</t>
  </si>
  <si>
    <t>희귀도</t>
  </si>
  <si>
    <t>정령 스토리</t>
  </si>
  <si>
    <t>정령 스토리 박스 색</t>
  </si>
  <si>
    <t>의뢰서 내용</t>
  </si>
  <si>
    <t>핵심 키워드</t>
  </si>
  <si>
    <t>핵심 키워드 폰트색</t>
  </si>
  <si>
    <t>정답 후보</t>
  </si>
  <si>
    <t>정답 일치율</t>
  </si>
  <si>
    <t>비교 후보</t>
  </si>
  <si>
    <t>비교 후보 일치율</t>
  </si>
  <si>
    <t>후보별 계산 근거</t>
  </si>
  <si>
    <t>꽃 → 별 → 마법</t>
  </si>
  <si>
    <t>소요</t>
  </si>
  <si>
    <t>따뜻한 골드</t>
  </si>
  <si>
    <t>식물형</t>
  </si>
  <si>
    <t>일반</t>
  </si>
  <si>
    <t>별빛을 머금은 꽃잎에 사람들의
작은 소원을 모아 간직한다. 소원이 이루어지면 
꽃잎 하나를 밤하늘로 돌려보낸다.</t>
  </si>
  <si>
    <t>#452f2c</t>
  </si>
  <si>
    <t>밤하늘에 빌었던 아이들의 소원이 아침이 되면 모두 사라지고 있어요.
작은 소원들을 반짝이는 꽃잎 속에 모아 오래 간직해 줄 정령이 필요해요.</t>
  </si>
  <si>
    <t>밤하늘, 소원, 꽃잎, 보관, 반짝임</t>
  </si>
  <si>
    <t>#eaa49a</t>
  </si>
  <si>
    <t>루멘</t>
  </si>
  <si>
    <t>소요: 의뢰 29+13+14+8=64 / 재료 15+10+5=30 / 총 94
루멘: 의뢰 25+10+15+9=59 / 재료 8+5+2=15 / 총 74
루멘도 빛과 기억을 다루지만 꽃과 소원 단서가 약하다.</t>
  </si>
  <si>
    <t>잎 → 바람 → 별</t>
  </si>
  <si>
    <t>루아</t>
  </si>
  <si>
    <t>푸릇한 그린빛</t>
  </si>
  <si>
    <t>잎맥에 바람이 지나간 방향을 기록한다. 
숲에서 길을 잃은 이가 나타나면 
잎을 흔들어 별빛이 비치는 길을 알려준다.</t>
  </si>
  <si>
    <t>#2D4132</t>
  </si>
  <si>
    <t>짙은 안개가 숲길을 뒤덮어 여행자들이 같은 자리를 맴돌고 있어요. 
흔들리는 잎과 하늘의 빛으로 안전한 길을 알려 줄 정령을 찾아 주세요.</t>
  </si>
  <si>
    <t>숲길, 안개, 길 안내, 흔들림, 잎, 하늘빛</t>
  </si>
  <si>
    <t>#AAD06D</t>
  </si>
  <si>
    <t>포리나</t>
  </si>
  <si>
    <t>루아: 의뢰 30+14+14+7=65 / 재료 15+10+5=30 / 총 95
포리나: 의뢰 21+12+12+7=52 / 재료 8+8+4=20 / 총 72
포리나는 이동 능력이 있지만 길을 판단하고 안내하는 힘은 약하다.</t>
  </si>
  <si>
    <t>흙 → 꽃 → 태양</t>
  </si>
  <si>
    <t>테라</t>
  </si>
  <si>
    <t>레어</t>
  </si>
  <si>
    <t>굳어버린 땅속에서 작은 온기를 찾아 
꽃의 뿌리로 전달한다. 테라가 머문 자리에는
메마른 계절에도 한 송이의 꽃이 피어난다.</t>
  </si>
  <si>
    <t>#423A28</t>
  </si>
  <si>
    <t>오랫동안 빛을 받지 못한 들판의 땅이 메말라 아무것도 자라지 않아요. 
굳은 땅을 깨우고 따뜻한 꽃을 피워 줄 정령이 필요해요.</t>
  </si>
  <si>
    <t>메마른 땅, 생명, 회복, 따뜻함, 개화, 햇빛</t>
  </si>
  <si>
    <t>#F7E1B1</t>
  </si>
  <si>
    <t>솔라스</t>
  </si>
  <si>
    <t>테라: 의뢰 29+14+13+7=63 / 재료 15+10+5=30 / 총 93
솔라스: 의뢰 27+11+15+8=61 / 재료 8+5+2=15 / 총 76
솔라스는 온기를 주지만 흙을 회복하고 꽃을 피우는 역할은 테라가 더 정확하다.</t>
  </si>
  <si>
    <t xml:space="preserve">물 → 달 → 별 </t>
  </si>
  <si>
    <t>보라빛 신비</t>
  </si>
  <si>
    <t>달빛이 비친 물가에 나타나는 작은 정령이다. 
꼬리에 맺힌 별빛을 물결 위에 놓아
안전한 길을 만든다.</t>
  </si>
  <si>
    <t>#596690</t>
  </si>
  <si>
    <t>밤마다 호수 위로 짙은 물안개가 번져 돌아오는 배들이 방향을 잃고 있어요. 
잔잔한 물결을 따라 달빛 길을 만들어 줄 정령을 찾아 주세요.</t>
  </si>
  <si>
    <t>호수, 밤, 물안개, 달빛, 길, 안내</t>
  </si>
  <si>
    <t>#B6C5FF</t>
  </si>
  <si>
    <t>에리온</t>
  </si>
  <si>
    <t>플레오: 의뢰 30+14+13+7=64 / 재료 15+10+5=30 / 총 94
에리온: 의뢰 23+13+14+8=58 / 재료 8+5+2=15 / 총 73
에리온은 물과 달의 속성에는 맞지만 길을 안내하는 역할이 약하다.</t>
  </si>
  <si>
    <t>바람 → 꽃 → 보석</t>
  </si>
  <si>
    <t>꽃향기를 날개에 머금고
협곡과 숲 사이를 오가는 정령이다. 
몸 주변의 작은 결정이
향기가 흩어지지 않도록 붙잡아 준다.</t>
  </si>
  <si>
    <t>#543B3B</t>
  </si>
  <si>
    <t>꽃이 피었지만 협곡의 거센 바람 때문에 향기가 마을까지 닿지 못하고 있어요. 
향기를 품고 반짝이는 바람길을 건너 줄 정령이 필요해요.</t>
  </si>
  <si>
    <t>협곡, 꽃향기, 바람, 전달, 반짝임</t>
  </si>
  <si>
    <t>#FBC1AF</t>
  </si>
  <si>
    <t>포리나: 의뢰 30+13+14+8=65 / 재료 15+10+5=30 / 총 95
루아: 의뢰 25+12+14+8=59 / 재료 8+5+2=15 / 총 74
루아도 바람길을 이용하지만 향기를 운반하는 전문성은 부족하다.</t>
  </si>
  <si>
    <t>불 → 흙 → 마법</t>
  </si>
  <si>
    <t>이그니</t>
  </si>
  <si>
    <t>붉은 불빛</t>
  </si>
  <si>
    <t>에픽</t>
  </si>
  <si>
    <t>땅속에 숨은 열기를 찾아내는 정령이다. 
꺼진 불씨 주변을 돌며 마력을 
불어넣어 다시 타오르게 한다.</t>
  </si>
  <si>
    <t>#492E2A</t>
  </si>
  <si>
    <t>마을의 마지막 화로가 점점 식어 가고 있어요. 
땅속에 남은 작은 열기를 찾아 꺼져 가는 불씨에 
다시 숨을 불어넣어 줄 정령을 찾아 주세요.</t>
  </si>
  <si>
    <t>불씨, 화로, 땅속 열기, 부활, 마력</t>
  </si>
  <si>
    <t>#EF965E</t>
  </si>
  <si>
    <t>이그니: 의뢰 30+14+15+7=66 / 재료 15+10+5=30 / 총 96
솔라스: 의뢰 26+11+15+8=60 / 재료 8+5+2=15 / 총 75
솔라스는 넓은 곳에 열을 전달하지만 작은 불씨를 되살리는 능력은 이그니가 더 적합하다.</t>
  </si>
  <si>
    <t xml:space="preserve">달 → 물 → 별 </t>
  </si>
  <si>
    <t>밤의 호수에 머물던 노래가
달빛을 만나 태어난 정령이다. 
물결 위에 별빛 음표를 띄워 
멀리 떨어진 이에게 마음을 전한다.</t>
  </si>
  <si>
    <t>#453F5A</t>
  </si>
  <si>
    <t>호수 건너편으로 전하지 못한 노래가 밤마다 물결 위를 맴돌고 있어요. 
달빛을 타고 그 노래를 먼 곳까지 전해 줄 정령이 필요해요.</t>
  </si>
  <si>
    <t>달빛, 노래, 물결, 전달, 밤하늘</t>
  </si>
  <si>
    <t>#CDA0F3</t>
  </si>
  <si>
    <t>노바: 의뢰 30+13+14+8=65 / 재료 15+10+5=30 / 총 95
루멘: 의뢰 24+13+15+7=59 / 재료 8+5+2=15 / 총 74
루멘은 같은 재료군과 잘 맞지만 빛과 기억이 중심이며 노래 전달 능력은 약하다.</t>
  </si>
  <si>
    <t xml:space="preserve">별 → 달 → 물 </t>
  </si>
  <si>
    <t>차가운 푸른빛</t>
  </si>
  <si>
    <t>호수에 비친 별빛과 달빛을 모아 
흐려진 기억을 다시 비춘다. 
말로 떠올리지 못하는 장면도 
물 위의 빛으로 보여준다.</t>
  </si>
  <si>
    <t>#3D3F5A</t>
  </si>
  <si>
    <t>소중했던 기억이 오래된 호수의 그림자처럼 조금씩 흐려지고 있어요. 
어두운 밤에도 잊힌 장면을 밝게 비춰 줄 정령을 찾아 주세요.</t>
  </si>
  <si>
    <t>기억, 별빛, 달밤, 호수, 비춤</t>
  </si>
  <si>
    <t>#CFD2FB</t>
  </si>
  <si>
    <t>루멘: 의뢰 30+14+13+8=65 / 재료 15+10+5=30 / 총 95
소요: 의뢰 24+12+14+8=58 / 재료 8+5+2=15 / 총 73
소요도 무언가를 간직하지만 흐려진 기억을 직접 비추는 능력은 루멘이 더 정확하다.</t>
  </si>
  <si>
    <t>태양 → 불 → 보석</t>
  </si>
  <si>
    <t>태양의 온기와 불꽃을 결정 안에 모아 두었다가
추운 땅에 내보낸다. 솔라스가 지나가면
얼음 아래 잠든 생명이 천천히 깨어난다.</t>
  </si>
  <si>
    <t>#3A2D28</t>
  </si>
  <si>
    <t>긴 추위로 얼어붙은 마을에서는 아침이 와도 햇살의 온기를 느낄 수 없어요. 
차가운 얼음을 녹이고 잠든 생명을 깨워 줄 강한 빛의 정령이 필요해요.</t>
  </si>
  <si>
    <t>햇빛, 열기, 해빙, 생명, 광채</t>
  </si>
  <si>
    <t>#FEC082</t>
  </si>
  <si>
    <t>솔라스: 의뢰 30+12+15+7=64 / 재료 15+10+5=30 / 총 94
이그니: 의뢰 26+10+15+10=61 / 재료 8+5+2=15 / 총 76
이그니는 불씨를 되살릴 수 있지만 넓은 지역의 얼음을 녹이는 힘은 솔라스보다 약하다.</t>
  </si>
  <si>
    <t>마법 → 에테르 → 보석</t>
  </si>
  <si>
    <t>누비</t>
  </si>
  <si>
    <t>고대형</t>
  </si>
  <si>
    <t>오래된 주문과 기록이 뭉쳐 태어난 고대 정령이다.
사라지는 글자와 이야기를
작은 결정에 새겨 잊히지 않게 보존한다.</t>
  </si>
  <si>
    <t>#514983</t>
  </si>
  <si>
    <t>고대 서고의 글자들이 한 줄씩 희미해지며 사라지고 있어요. 
흩어지는 지식과 이야기를 단단한 결정 속에 기록해 줄 정령을 찾아 주세요.</t>
  </si>
  <si>
    <t>고대, 기록, 지식, 보존, 결정, 신비, 힘</t>
  </si>
  <si>
    <t>#BC94FC</t>
  </si>
  <si>
    <t>오르비스</t>
  </si>
  <si>
    <t>누비: 의뢰 30+14+14+6=64 / 재료 15+10+5=30 / 총 94
오르비스: 의뢰 24+14+13+5=56 / 재료 8+5+2=15 / 총 71
오르비스도 고대 결정을 다루지만 기록보다 봉인과 방어에 특화되어 있다.</t>
  </si>
  <si>
    <t>에테르 → 물 → 달</t>
  </si>
  <si>
    <t>사라지는 기억을 고요한 물결 속에
봉인하는 고대 수호 정령이다.
달이 뜨는 밤이면 보존된 기억을 잠시 비춰준다.</t>
  </si>
  <si>
    <t>#292A49</t>
  </si>
  <si>
    <t>한 노인이 가장 소중했던 사람의 얼굴을 조금씩 잊어가고 있어요. 
사라지는 기억을 고요한 물결 속에 담아 오래 지켜 줄 정령이 필요해요.</t>
  </si>
  <si>
    <t>기억, 보존, 고요함, 물결, 달빛, 그리움</t>
  </si>
  <si>
    <t>#8CCEFF</t>
  </si>
  <si>
    <t>에리온: 의뢰 30+14+13+8=65 / 재료 15+10+5=30 / 총 95
노바: 의뢰 23+13+14+7=57 / 재료 8+5+2=15 / 총 72
노바는 감정을 전달하지만 기억을 장기간 보존하는 능력은 부족하다.</t>
  </si>
  <si>
    <t>보석 → 태양 → 에테르</t>
  </si>
  <si>
    <t>전설</t>
  </si>
  <si>
    <t>오래된 세계의 경계를 지키도록
만들어진 수정 수호 정령이다.
태양빛을 결정에 응축해 균열과 어둠을 봉인한다.</t>
  </si>
  <si>
    <t>#52402D</t>
  </si>
  <si>
    <t>오래된 유적 위로 빛과 어둠의 균열이 벌어지고 있어요. 
강한 빛을 품은 단단한 결정으로 균열을 봉인하고 
세계의 경계를 지켜 줄 정령을 찾아 주세요.</t>
  </si>
  <si>
    <t>고대, 유적, 균열, 봉인, 빛, 결정</t>
  </si>
  <si>
    <t>#FDEDC2</t>
  </si>
  <si>
    <t>오르비스: 의뢰 30+15+15+8=68 / 재료 15+10+5=30 / 총 98
누비: 의뢰 21+13+14+6=54 / 재료 8+5+2=15 / 총 69
누비는 고대 지식을 보존하지만 세계의 균열을 봉인하는 방어 능력은 약하다.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</si>
</sst>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&quot;%&quot;"/>
  </numFmts>
  <fonts count="5">
    <font>
      <sz val="11.0"/>
      <color rgb="FF000000"/>
      <name val="Carlito"/>
      <scheme val="minor"/>
    </font>
    <font>
      <b/>
      <sz val="14.0"/>
      <color rgb="FFFFFFFF"/>
      <name val="Carlito"/>
    </font>
    <font>
      <b/>
      <sz val="11.0"/>
      <color rgb="FFFFFFFF"/>
      <name val="Carlito"/>
    </font>
    <font>
      <sz val="11.0"/>
      <color theme="1"/>
      <name val="Carlito"/>
    </font>
    <font>
      <b/>
      <sz val="11.0"/>
      <color theme="1"/>
      <name val="Carlito"/>
    </font>
  </fonts>
  <fills count="6">
    <fill>
      <patternFill patternType="none"/>
    </fill>
    <fill>
      <patternFill patternType="lightGray"/>
    </fill>
    <fill>
      <patternFill patternType="solid">
        <fgColor rgb="FF5F4AA8"/>
        <bgColor rgb="FF5F4AA8"/>
      </patternFill>
    </fill>
    <fill>
      <patternFill patternType="solid">
        <fgColor rgb="FFA894FF"/>
        <bgColor rgb="FFA894FF"/>
      </patternFill>
    </fill>
    <fill>
      <patternFill patternType="solid">
        <fgColor rgb="FFFFFFFF"/>
        <bgColor rgb="FFFFFFFF"/>
      </patternFill>
    </fill>
    <fill>
      <patternFill patternType="solid">
        <fgColor rgb="FFF3F3F3"/>
        <bgColor rgb="FFF3F3F3"/>
      </patternFill>
    </fill>
  </fills>
  <borders count="13">
    <border/>
    <border>
      <left style="thin">
        <color rgb="FFD8D4E8"/>
      </left>
      <top style="thin">
        <color rgb="FFD8D4E8"/>
      </top>
    </border>
    <border>
      <top style="thin">
        <color rgb="FFD8D4E8"/>
      </top>
    </border>
    <border>
      <right style="thin">
        <color rgb="FFD8D4E8"/>
      </right>
      <top style="thin">
        <color rgb="FFD8D4E8"/>
      </top>
    </border>
    <border>
      <left style="thin">
        <color rgb="FFD8D4E8"/>
      </left>
    </border>
    <border>
      <right style="thin">
        <color rgb="FFD8D4E8"/>
      </right>
    </border>
    <border>
      <left style="thin">
        <color rgb="FFD8D4E8"/>
      </left>
      <bottom style="thin">
        <color rgb="FFD8D4E8"/>
      </bottom>
    </border>
    <border>
      <bottom style="thin">
        <color rgb="FFD8D4E8"/>
      </bottom>
    </border>
    <border>
      <right style="thin">
        <color rgb="FFD8D4E8"/>
      </right>
      <bottom style="thin">
        <color rgb="FFD8D4E8"/>
      </bottom>
    </border>
    <border>
      <left style="thin">
        <color rgb="FFD8D4E8"/>
      </left>
      <bottom style="thin">
        <color rgb="FF000000"/>
      </bottom>
    </border>
    <border>
      <bottom style="thin">
        <color rgb="FF000000"/>
      </bottom>
    </border>
    <border>
      <top style="thin">
        <color rgb="FFD8D4E8"/>
      </top>
      <bottom style="thin">
        <color rgb="FF000000"/>
      </bottom>
    </border>
    <border>
      <right style="thin">
        <color rgb="FFD8D4E8"/>
      </right>
      <bottom style="thin">
        <color rgb="FF000000"/>
      </bottom>
    </border>
  </borders>
  <cellStyleXfs count="1">
    <xf borderId="0" fillId="0" fontId="0" numFmtId="0" applyAlignment="1" applyFont="1"/>
  </cellStyleXfs>
  <cellXfs count="4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vertical="center"/>
    </xf>
    <xf borderId="1" fillId="3" fontId="2" numFmtId="0" xfId="0" applyAlignment="1" applyBorder="1" applyFill="1" applyFont="1">
      <alignment horizontal="center" shrinkToFit="0" vertical="center" wrapText="1"/>
    </xf>
    <xf borderId="2" fillId="3" fontId="2" numFmtId="0" xfId="0" applyAlignment="1" applyBorder="1" applyFont="1">
      <alignment horizontal="center" shrinkToFit="0" vertical="center" wrapText="1"/>
    </xf>
    <xf borderId="3" fillId="3" fontId="2" numFmtId="0" xfId="0" applyAlignment="1" applyBorder="1" applyFont="1">
      <alignment horizontal="center" shrinkToFit="0" vertical="center" wrapText="1"/>
    </xf>
    <xf borderId="4" fillId="0" fontId="3" numFmtId="0" xfId="0" applyAlignment="1" applyBorder="1" applyFont="1">
      <alignment shrinkToFit="0" wrapText="1"/>
    </xf>
    <xf borderId="0" fillId="0" fontId="3" numFmtId="0" xfId="0" applyAlignment="1" applyFont="1">
      <alignment shrinkToFit="0" wrapText="1"/>
    </xf>
    <xf borderId="5" fillId="0" fontId="3" numFmtId="0" xfId="0" applyAlignment="1" applyBorder="1" applyFont="1">
      <alignment shrinkToFit="0" wrapText="1"/>
    </xf>
    <xf borderId="4" fillId="3" fontId="2" numFmtId="0" xfId="0" applyAlignment="1" applyBorder="1" applyFont="1">
      <alignment horizontal="center" shrinkToFit="0" vertical="center" wrapText="1"/>
    </xf>
    <xf borderId="0" fillId="3" fontId="2" numFmtId="0" xfId="0" applyAlignment="1" applyFont="1">
      <alignment horizontal="center" shrinkToFit="0" vertical="center" wrapText="1"/>
    </xf>
    <xf borderId="5" fillId="3" fontId="2" numFmtId="0" xfId="0" applyAlignment="1" applyBorder="1" applyFont="1">
      <alignment horizontal="center" shrinkToFit="0" vertical="center" wrapText="1"/>
    </xf>
    <xf borderId="6" fillId="0" fontId="3" numFmtId="0" xfId="0" applyAlignment="1" applyBorder="1" applyFont="1">
      <alignment shrinkToFit="0" wrapText="1"/>
    </xf>
    <xf borderId="0" fillId="2" fontId="2" numFmtId="0" xfId="0" applyAlignment="1" applyFont="1">
      <alignment horizontal="center" readingOrder="0" shrinkToFit="0" vertical="center" wrapText="1"/>
    </xf>
    <xf borderId="7" fillId="0" fontId="3" numFmtId="0" xfId="0" applyAlignment="1" applyBorder="1" applyFont="1">
      <alignment shrinkToFit="0" wrapText="1"/>
    </xf>
    <xf borderId="8" fillId="0" fontId="3" numFmtId="0" xfId="0" applyAlignment="1" applyBorder="1" applyFont="1">
      <alignment shrinkToFit="0" wrapText="1"/>
    </xf>
    <xf borderId="0" fillId="2" fontId="2" numFmtId="49" xfId="0" applyAlignment="1" applyFont="1" applyNumberFormat="1">
      <alignment horizontal="center" readingOrder="0" shrinkToFit="0" vertical="center" wrapText="1"/>
    </xf>
    <xf borderId="1" fillId="4" fontId="3" numFmtId="0" xfId="0" applyAlignment="1" applyBorder="1" applyFill="1" applyFont="1">
      <alignment horizontal="center" shrinkToFit="0" vertical="center" wrapText="1"/>
    </xf>
    <xf borderId="2" fillId="4" fontId="3" numFmtId="0" xfId="0" applyAlignment="1" applyBorder="1" applyFont="1">
      <alignment horizontal="center" shrinkToFit="0" vertical="center" wrapText="1"/>
    </xf>
    <xf borderId="2" fillId="4" fontId="4" numFmtId="0" xfId="0" applyAlignment="1" applyBorder="1" applyFont="1">
      <alignment horizontal="center" shrinkToFit="0" vertical="center" wrapText="1"/>
    </xf>
    <xf borderId="2" fillId="4" fontId="3" numFmtId="0" xfId="0" applyAlignment="1" applyBorder="1" applyFont="1">
      <alignment horizontal="center" readingOrder="0" shrinkToFit="0" vertical="center" wrapText="1"/>
    </xf>
    <xf borderId="2" fillId="0" fontId="3" numFmtId="0" xfId="0" applyAlignment="1" applyBorder="1" applyFont="1">
      <alignment horizontal="center" shrinkToFit="0" vertical="center" wrapText="1"/>
    </xf>
    <xf borderId="2" fillId="5" fontId="4" numFmtId="0" xfId="0" applyAlignment="1" applyBorder="1" applyFill="1" applyFont="1">
      <alignment horizontal="center" shrinkToFit="0" vertical="center" wrapText="1"/>
    </xf>
    <xf borderId="2" fillId="5" fontId="3" numFmtId="164" xfId="0" applyAlignment="1" applyBorder="1" applyFont="1" applyNumberFormat="1">
      <alignment horizontal="center" shrinkToFit="0" vertical="center" wrapText="1"/>
    </xf>
    <xf borderId="2" fillId="4" fontId="3" numFmtId="164" xfId="0" applyAlignment="1" applyBorder="1" applyFont="1" applyNumberFormat="1">
      <alignment horizontal="center" shrinkToFit="0" vertical="center" wrapText="1"/>
    </xf>
    <xf borderId="3" fillId="4" fontId="3" numFmtId="0" xfId="0" applyAlignment="1" applyBorder="1" applyFont="1">
      <alignment horizontal="center" readingOrder="0" shrinkToFit="0" vertical="center" wrapText="1"/>
    </xf>
    <xf borderId="4" fillId="0" fontId="3" numFmtId="0" xfId="0" applyAlignment="1" applyBorder="1" applyFont="1">
      <alignment horizontal="center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4" numFmtId="0" xfId="0" applyAlignment="1" applyFont="1">
      <alignment horizontal="center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4" fontId="3" numFmtId="0" xfId="0" applyAlignment="1" applyFont="1">
      <alignment horizontal="center" readingOrder="0" shrinkToFit="0" vertical="center" wrapText="1"/>
    </xf>
    <xf borderId="0" fillId="5" fontId="4" numFmtId="0" xfId="0" applyAlignment="1" applyFont="1">
      <alignment horizontal="center" shrinkToFit="0" vertical="center" wrapText="1"/>
    </xf>
    <xf borderId="0" fillId="5" fontId="3" numFmtId="164" xfId="0" applyAlignment="1" applyFont="1" applyNumberFormat="1">
      <alignment horizontal="center" shrinkToFit="0" vertical="center" wrapText="1"/>
    </xf>
    <xf borderId="0" fillId="4" fontId="4" numFmtId="0" xfId="0" applyAlignment="1" applyFont="1">
      <alignment horizontal="center" shrinkToFit="0" vertical="center" wrapText="1"/>
    </xf>
    <xf borderId="0" fillId="4" fontId="3" numFmtId="164" xfId="0" applyAlignment="1" applyFont="1" applyNumberFormat="1">
      <alignment horizontal="center" shrinkToFit="0" vertical="center" wrapText="1"/>
    </xf>
    <xf borderId="5" fillId="4" fontId="3" numFmtId="0" xfId="0" applyAlignment="1" applyBorder="1" applyFont="1">
      <alignment horizontal="center" readingOrder="0" shrinkToFit="0" vertical="center" wrapText="1"/>
    </xf>
    <xf borderId="9" fillId="4" fontId="3" numFmtId="0" xfId="0" applyAlignment="1" applyBorder="1" applyFont="1">
      <alignment horizontal="center" shrinkToFit="0" vertical="center" wrapText="1"/>
    </xf>
    <xf borderId="10" fillId="4" fontId="3" numFmtId="0" xfId="0" applyAlignment="1" applyBorder="1" applyFont="1">
      <alignment horizontal="center" shrinkToFit="0" vertical="center" wrapText="1"/>
    </xf>
    <xf borderId="10" fillId="4" fontId="4" numFmtId="0" xfId="0" applyAlignment="1" applyBorder="1" applyFont="1">
      <alignment horizontal="center" shrinkToFit="0" vertical="center" wrapText="1"/>
    </xf>
    <xf borderId="11" fillId="4" fontId="3" numFmtId="0" xfId="0" applyAlignment="1" applyBorder="1" applyFont="1">
      <alignment horizontal="center" readingOrder="0" shrinkToFit="0" vertical="center" wrapText="1"/>
    </xf>
    <xf borderId="10" fillId="0" fontId="3" numFmtId="0" xfId="0" applyAlignment="1" applyBorder="1" applyFont="1">
      <alignment horizontal="center" shrinkToFit="0" vertical="center" wrapText="1"/>
    </xf>
    <xf borderId="10" fillId="4" fontId="3" numFmtId="0" xfId="0" applyAlignment="1" applyBorder="1" applyFont="1">
      <alignment horizontal="center" readingOrder="0" shrinkToFit="0" vertical="center" wrapText="1"/>
    </xf>
    <xf borderId="10" fillId="5" fontId="4" numFmtId="0" xfId="0" applyAlignment="1" applyBorder="1" applyFont="1">
      <alignment horizontal="center" shrinkToFit="0" vertical="center" wrapText="1"/>
    </xf>
    <xf borderId="10" fillId="5" fontId="3" numFmtId="164" xfId="0" applyAlignment="1" applyBorder="1" applyFont="1" applyNumberFormat="1">
      <alignment horizontal="center" shrinkToFit="0" vertical="center" wrapText="1"/>
    </xf>
    <xf borderId="10" fillId="4" fontId="3" numFmtId="164" xfId="0" applyAlignment="1" applyBorder="1" applyFont="1" applyNumberFormat="1">
      <alignment horizontal="center" shrinkToFit="0" vertical="center" wrapText="1"/>
    </xf>
    <xf borderId="12" fillId="4" fontId="3" numFmtId="0" xfId="0" applyAlignment="1" applyBorder="1" applyFont="1">
      <alignment horizontal="center" readingOrder="0" shrinkToFit="0" vertical="center" wrapText="1"/>
    </xf>
    <xf borderId="4" fillId="4" fontId="3" numFmtId="0" xfId="0" applyAlignment="1" applyBorder="1" applyFont="1">
      <alignment horizontal="center" shrinkToFit="0" vertical="center" wrapText="1"/>
    </xf>
    <xf borderId="0" fillId="4" fontId="3" numFmtId="0" xfId="0" applyAlignment="1" applyFont="1">
      <alignment horizontal="center" shrinkToFit="0" vertical="center" wrapText="1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 style="thin">
          <color rgb="FFD4D4D4"/>
        </vertical>
        <horizontal style="thin">
          <color rgb="FFD4D4D4"/>
        </horizontal>
      </border>
    </dxf>
    <dxf>
      <font/>
      <fill>
        <patternFill patternType="solid">
          <fgColor rgb="FFE5E7EB"/>
          <bgColor rgb="FFE5E7EB"/>
        </patternFill>
      </fill>
      <border/>
    </dxf>
    <dxf>
      <font/>
      <fill>
        <patternFill patternType="solid">
          <fgColor rgb="FFBFE9E2"/>
          <bgColor rgb="FFBFE9E2"/>
        </patternFill>
      </fill>
      <border/>
    </dxf>
    <dxf>
      <font/>
      <fill>
        <patternFill patternType="solid">
          <fgColor rgb="FFD8C7FF"/>
          <bgColor rgb="FFD8C7FF"/>
        </patternFill>
      </fill>
      <border/>
    </dxf>
    <dxf>
      <font/>
      <fill>
        <patternFill patternType="solid">
          <fgColor rgb="FFF7E7A8"/>
          <bgColor rgb="FFF7E7A8"/>
        </patternFill>
      </fill>
      <border/>
    </dxf>
  </dxfs>
  <tableStyles count="1">
    <tableStyle count="4" pivot="0" name="정령·의뢰서 합본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P13" displayName="SpiriaSpiritQuestTable" name="SpiriaSpiritQuestTable" id="1">
  <tableColumns count="16">
    <tableColumn name="No." id="1"/>
    <tableColumn name="조합 순서 (1→2→3)" id="2"/>
    <tableColumn name="정령명" id="3"/>
    <tableColumn name="상세 배경 톤" id="4"/>
    <tableColumn name="유형" id="5"/>
    <tableColumn name="희귀도" id="6"/>
    <tableColumn name="정령 스토리" id="7"/>
    <tableColumn name="정령 스토리 박스 색" id="8"/>
    <tableColumn name="의뢰서 내용" id="9"/>
    <tableColumn name="핵심 키워드" id="10"/>
    <tableColumn name="핵심 키워드 폰트색" id="11"/>
    <tableColumn name="정답 후보" id="12"/>
    <tableColumn name="정답 일치율" id="13"/>
    <tableColumn name="비교 후보" id="14"/>
    <tableColumn name="비교 후보 일치율" id="15"/>
    <tableColumn name="후보별 계산 근거" id="16"/>
  </tableColumns>
  <tableStyleInfo name="정령·의뢰서 합본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7.38"/>
    <col customWidth="1" min="2" max="2" width="18.0"/>
    <col customWidth="1" min="3" max="3" width="11.0"/>
    <col customWidth="1" min="4" max="4" width="12.88"/>
    <col customWidth="1" min="5" max="5" width="10.0"/>
    <col customWidth="1" min="6" max="6" width="9.0"/>
    <col customWidth="1" min="7" max="7" width="37.0"/>
    <col customWidth="1" min="8" max="8" width="9.88"/>
    <col customWidth="1" min="9" max="9" width="58.25"/>
    <col customWidth="1" min="10" max="10" width="28.88"/>
    <col customWidth="1" min="11" max="11" width="9.13"/>
    <col customWidth="1" min="12" max="14" width="12.0"/>
    <col customWidth="1" min="15" max="15" width="14.0"/>
    <col customWidth="1" min="16" max="16" width="46.0"/>
  </cols>
  <sheetData>
    <row r="1" ht="33.75" customHeight="1">
      <c r="A1" s="12" t="s">
        <v>37</v>
      </c>
      <c r="B1" s="12" t="s">
        <v>49</v>
      </c>
      <c r="C1" s="12" t="s">
        <v>50</v>
      </c>
      <c r="D1" s="15" t="s">
        <v>51</v>
      </c>
      <c r="E1" s="12" t="s">
        <v>38</v>
      </c>
      <c r="F1" s="12" t="s">
        <v>52</v>
      </c>
      <c r="G1" s="12" t="s">
        <v>53</v>
      </c>
      <c r="H1" s="15" t="s">
        <v>54</v>
      </c>
      <c r="I1" s="12" t="s">
        <v>55</v>
      </c>
      <c r="J1" s="12" t="s">
        <v>56</v>
      </c>
      <c r="K1" s="15" t="s">
        <v>57</v>
      </c>
      <c r="L1" s="12" t="s">
        <v>58</v>
      </c>
      <c r="M1" s="12" t="s">
        <v>59</v>
      </c>
      <c r="N1" s="12" t="s">
        <v>60</v>
      </c>
      <c r="O1" s="12" t="s">
        <v>61</v>
      </c>
      <c r="P1" s="12" t="s">
        <v>62</v>
      </c>
    </row>
    <row r="2" ht="91.5" customHeight="1">
      <c r="A2" s="16">
        <v>1.0</v>
      </c>
      <c r="B2" s="17" t="s">
        <v>63</v>
      </c>
      <c r="C2" s="18" t="s">
        <v>64</v>
      </c>
      <c r="D2" s="19" t="s">
        <v>65</v>
      </c>
      <c r="E2" s="17" t="s">
        <v>66</v>
      </c>
      <c r="F2" s="20" t="s">
        <v>67</v>
      </c>
      <c r="G2" s="19" t="s">
        <v>68</v>
      </c>
      <c r="H2" s="19" t="s">
        <v>69</v>
      </c>
      <c r="I2" s="19" t="s">
        <v>70</v>
      </c>
      <c r="J2" s="17" t="s">
        <v>71</v>
      </c>
      <c r="K2" s="19" t="s">
        <v>72</v>
      </c>
      <c r="L2" s="21" t="s">
        <v>64</v>
      </c>
      <c r="M2" s="22">
        <v>94.0</v>
      </c>
      <c r="N2" s="18" t="s">
        <v>73</v>
      </c>
      <c r="O2" s="23">
        <v>74.0</v>
      </c>
      <c r="P2" s="24" t="s">
        <v>74</v>
      </c>
    </row>
    <row r="3" ht="91.5" customHeight="1">
      <c r="A3" s="25">
        <v>2.0</v>
      </c>
      <c r="B3" s="26" t="s">
        <v>75</v>
      </c>
      <c r="C3" s="27" t="s">
        <v>76</v>
      </c>
      <c r="D3" s="28" t="s">
        <v>77</v>
      </c>
      <c r="E3" s="26" t="s">
        <v>66</v>
      </c>
      <c r="F3" s="26" t="s">
        <v>67</v>
      </c>
      <c r="G3" s="29" t="s">
        <v>78</v>
      </c>
      <c r="H3" s="29" t="s">
        <v>79</v>
      </c>
      <c r="I3" s="29" t="s">
        <v>80</v>
      </c>
      <c r="J3" s="29" t="s">
        <v>81</v>
      </c>
      <c r="K3" s="29" t="s">
        <v>82</v>
      </c>
      <c r="L3" s="30" t="s">
        <v>76</v>
      </c>
      <c r="M3" s="31">
        <v>95.0</v>
      </c>
      <c r="N3" s="32" t="s">
        <v>83</v>
      </c>
      <c r="O3" s="33">
        <v>72.0</v>
      </c>
      <c r="P3" s="34" t="s">
        <v>84</v>
      </c>
    </row>
    <row r="4" ht="91.5" customHeight="1">
      <c r="A4" s="35">
        <v>3.0</v>
      </c>
      <c r="B4" s="36" t="s">
        <v>85</v>
      </c>
      <c r="C4" s="37" t="s">
        <v>86</v>
      </c>
      <c r="D4" s="38" t="s">
        <v>65</v>
      </c>
      <c r="E4" s="36" t="s">
        <v>66</v>
      </c>
      <c r="F4" s="39" t="s">
        <v>87</v>
      </c>
      <c r="G4" s="40" t="s">
        <v>88</v>
      </c>
      <c r="H4" s="40" t="s">
        <v>89</v>
      </c>
      <c r="I4" s="40" t="s">
        <v>90</v>
      </c>
      <c r="J4" s="40" t="s">
        <v>91</v>
      </c>
      <c r="K4" s="40" t="s">
        <v>92</v>
      </c>
      <c r="L4" s="41" t="s">
        <v>86</v>
      </c>
      <c r="M4" s="42">
        <v>93.0</v>
      </c>
      <c r="N4" s="37" t="s">
        <v>93</v>
      </c>
      <c r="O4" s="43">
        <v>76.0</v>
      </c>
      <c r="P4" s="44" t="s">
        <v>94</v>
      </c>
    </row>
    <row r="5" ht="91.5" customHeight="1">
      <c r="A5" s="45">
        <v>4.0</v>
      </c>
      <c r="B5" s="29" t="s">
        <v>95</v>
      </c>
      <c r="C5" s="32" t="s">
        <v>43</v>
      </c>
      <c r="D5" s="29" t="s">
        <v>96</v>
      </c>
      <c r="E5" s="46" t="s">
        <v>42</v>
      </c>
      <c r="F5" s="26" t="s">
        <v>67</v>
      </c>
      <c r="G5" s="29" t="s">
        <v>97</v>
      </c>
      <c r="H5" s="29" t="s">
        <v>98</v>
      </c>
      <c r="I5" s="29" t="s">
        <v>99</v>
      </c>
      <c r="J5" s="29" t="s">
        <v>100</v>
      </c>
      <c r="K5" s="29" t="s">
        <v>101</v>
      </c>
      <c r="L5" s="30" t="s">
        <v>43</v>
      </c>
      <c r="M5" s="31">
        <v>94.0</v>
      </c>
      <c r="N5" s="32" t="s">
        <v>102</v>
      </c>
      <c r="O5" s="33">
        <v>73.0</v>
      </c>
      <c r="P5" s="34" t="s">
        <v>103</v>
      </c>
    </row>
    <row r="6" ht="91.5" customHeight="1">
      <c r="A6" s="45">
        <v>5.0</v>
      </c>
      <c r="B6" s="46" t="s">
        <v>104</v>
      </c>
      <c r="C6" s="32" t="s">
        <v>83</v>
      </c>
      <c r="D6" s="29" t="s">
        <v>65</v>
      </c>
      <c r="E6" s="46" t="s">
        <v>42</v>
      </c>
      <c r="F6" s="26" t="s">
        <v>87</v>
      </c>
      <c r="G6" s="29" t="s">
        <v>105</v>
      </c>
      <c r="H6" s="29" t="s">
        <v>106</v>
      </c>
      <c r="I6" s="29" t="s">
        <v>107</v>
      </c>
      <c r="J6" s="46" t="s">
        <v>108</v>
      </c>
      <c r="K6" s="29" t="s">
        <v>109</v>
      </c>
      <c r="L6" s="30" t="s">
        <v>83</v>
      </c>
      <c r="M6" s="31">
        <v>95.0</v>
      </c>
      <c r="N6" s="32" t="s">
        <v>76</v>
      </c>
      <c r="O6" s="33">
        <v>74.0</v>
      </c>
      <c r="P6" s="34" t="s">
        <v>110</v>
      </c>
    </row>
    <row r="7" ht="91.5" customHeight="1">
      <c r="A7" s="35">
        <v>6.0</v>
      </c>
      <c r="B7" s="36" t="s">
        <v>111</v>
      </c>
      <c r="C7" s="37" t="s">
        <v>112</v>
      </c>
      <c r="D7" s="40" t="s">
        <v>113</v>
      </c>
      <c r="E7" s="36" t="s">
        <v>42</v>
      </c>
      <c r="F7" s="39" t="s">
        <v>114</v>
      </c>
      <c r="G7" s="40" t="s">
        <v>115</v>
      </c>
      <c r="H7" s="40" t="s">
        <v>116</v>
      </c>
      <c r="I7" s="40" t="s">
        <v>117</v>
      </c>
      <c r="J7" s="36" t="s">
        <v>118</v>
      </c>
      <c r="K7" s="40" t="s">
        <v>119</v>
      </c>
      <c r="L7" s="41" t="s">
        <v>112</v>
      </c>
      <c r="M7" s="42">
        <v>96.0</v>
      </c>
      <c r="N7" s="37" t="s">
        <v>93</v>
      </c>
      <c r="O7" s="43">
        <v>75.0</v>
      </c>
      <c r="P7" s="44" t="s">
        <v>120</v>
      </c>
    </row>
    <row r="8" ht="91.5" customHeight="1">
      <c r="A8" s="45">
        <v>7.0</v>
      </c>
      <c r="B8" s="29" t="s">
        <v>121</v>
      </c>
      <c r="C8" s="32" t="s">
        <v>47</v>
      </c>
      <c r="D8" s="29" t="s">
        <v>96</v>
      </c>
      <c r="E8" s="46" t="s">
        <v>46</v>
      </c>
      <c r="F8" s="26" t="s">
        <v>87</v>
      </c>
      <c r="G8" s="29" t="s">
        <v>122</v>
      </c>
      <c r="H8" s="29" t="s">
        <v>123</v>
      </c>
      <c r="I8" s="29" t="s">
        <v>124</v>
      </c>
      <c r="J8" s="46" t="s">
        <v>125</v>
      </c>
      <c r="K8" s="29" t="s">
        <v>126</v>
      </c>
      <c r="L8" s="30" t="s">
        <v>47</v>
      </c>
      <c r="M8" s="31">
        <v>95.0</v>
      </c>
      <c r="N8" s="32" t="s">
        <v>73</v>
      </c>
      <c r="O8" s="33">
        <v>74.0</v>
      </c>
      <c r="P8" s="34" t="s">
        <v>127</v>
      </c>
    </row>
    <row r="9" ht="91.5" customHeight="1">
      <c r="A9" s="45">
        <v>8.0</v>
      </c>
      <c r="B9" s="29" t="s">
        <v>128</v>
      </c>
      <c r="C9" s="32" t="s">
        <v>73</v>
      </c>
      <c r="D9" s="29" t="s">
        <v>129</v>
      </c>
      <c r="E9" s="46" t="s">
        <v>46</v>
      </c>
      <c r="F9" s="26" t="s">
        <v>87</v>
      </c>
      <c r="G9" s="29" t="s">
        <v>130</v>
      </c>
      <c r="H9" s="29" t="s">
        <v>131</v>
      </c>
      <c r="I9" s="29" t="s">
        <v>132</v>
      </c>
      <c r="J9" s="46" t="s">
        <v>133</v>
      </c>
      <c r="K9" s="29" t="s">
        <v>134</v>
      </c>
      <c r="L9" s="30" t="s">
        <v>73</v>
      </c>
      <c r="M9" s="31">
        <v>95.0</v>
      </c>
      <c r="N9" s="32" t="s">
        <v>64</v>
      </c>
      <c r="O9" s="33">
        <v>73.0</v>
      </c>
      <c r="P9" s="34" t="s">
        <v>135</v>
      </c>
    </row>
    <row r="10" ht="91.5" customHeight="1">
      <c r="A10" s="35">
        <v>9.0</v>
      </c>
      <c r="B10" s="36" t="s">
        <v>136</v>
      </c>
      <c r="C10" s="37" t="s">
        <v>93</v>
      </c>
      <c r="D10" s="40" t="s">
        <v>65</v>
      </c>
      <c r="E10" s="36" t="s">
        <v>46</v>
      </c>
      <c r="F10" s="39" t="s">
        <v>114</v>
      </c>
      <c r="G10" s="40" t="s">
        <v>137</v>
      </c>
      <c r="H10" s="40" t="s">
        <v>138</v>
      </c>
      <c r="I10" s="40" t="s">
        <v>139</v>
      </c>
      <c r="J10" s="40" t="s">
        <v>140</v>
      </c>
      <c r="K10" s="40" t="s">
        <v>141</v>
      </c>
      <c r="L10" s="41" t="s">
        <v>93</v>
      </c>
      <c r="M10" s="42">
        <v>94.0</v>
      </c>
      <c r="N10" s="37" t="s">
        <v>112</v>
      </c>
      <c r="O10" s="43">
        <v>76.0</v>
      </c>
      <c r="P10" s="44" t="s">
        <v>142</v>
      </c>
    </row>
    <row r="11" ht="91.5" customHeight="1">
      <c r="A11" s="45">
        <v>10.0</v>
      </c>
      <c r="B11" s="46" t="s">
        <v>143</v>
      </c>
      <c r="C11" s="32" t="s">
        <v>144</v>
      </c>
      <c r="D11" s="29" t="s">
        <v>96</v>
      </c>
      <c r="E11" s="46" t="s">
        <v>145</v>
      </c>
      <c r="F11" s="26" t="s">
        <v>87</v>
      </c>
      <c r="G11" s="29" t="s">
        <v>146</v>
      </c>
      <c r="H11" s="29" t="s">
        <v>147</v>
      </c>
      <c r="I11" s="29" t="s">
        <v>148</v>
      </c>
      <c r="J11" s="29" t="s">
        <v>149</v>
      </c>
      <c r="K11" s="29" t="s">
        <v>150</v>
      </c>
      <c r="L11" s="30" t="s">
        <v>144</v>
      </c>
      <c r="M11" s="31">
        <v>94.0</v>
      </c>
      <c r="N11" s="32" t="s">
        <v>151</v>
      </c>
      <c r="O11" s="33">
        <v>71.0</v>
      </c>
      <c r="P11" s="34" t="s">
        <v>152</v>
      </c>
    </row>
    <row r="12" ht="91.5" customHeight="1">
      <c r="A12" s="45">
        <v>11.0</v>
      </c>
      <c r="B12" s="46" t="s">
        <v>153</v>
      </c>
      <c r="C12" s="32" t="s">
        <v>102</v>
      </c>
      <c r="D12" s="29" t="s">
        <v>129</v>
      </c>
      <c r="E12" s="46" t="s">
        <v>145</v>
      </c>
      <c r="F12" s="26" t="s">
        <v>114</v>
      </c>
      <c r="G12" s="29" t="s">
        <v>154</v>
      </c>
      <c r="H12" s="29" t="s">
        <v>155</v>
      </c>
      <c r="I12" s="29" t="s">
        <v>156</v>
      </c>
      <c r="J12" s="29" t="s">
        <v>157</v>
      </c>
      <c r="K12" s="29" t="s">
        <v>158</v>
      </c>
      <c r="L12" s="30" t="s">
        <v>102</v>
      </c>
      <c r="M12" s="31">
        <v>95.0</v>
      </c>
      <c r="N12" s="32" t="s">
        <v>47</v>
      </c>
      <c r="O12" s="33">
        <v>72.0</v>
      </c>
      <c r="P12" s="34" t="s">
        <v>159</v>
      </c>
    </row>
    <row r="13" ht="91.5" customHeight="1">
      <c r="A13" s="35">
        <v>12.0</v>
      </c>
      <c r="B13" s="36" t="s">
        <v>160</v>
      </c>
      <c r="C13" s="37" t="s">
        <v>151</v>
      </c>
      <c r="D13" s="40" t="s">
        <v>65</v>
      </c>
      <c r="E13" s="36" t="s">
        <v>145</v>
      </c>
      <c r="F13" s="39" t="s">
        <v>161</v>
      </c>
      <c r="G13" s="40" t="s">
        <v>162</v>
      </c>
      <c r="H13" s="40" t="s">
        <v>163</v>
      </c>
      <c r="I13" s="40" t="s">
        <v>164</v>
      </c>
      <c r="J13" s="40" t="s">
        <v>165</v>
      </c>
      <c r="K13" s="40" t="s">
        <v>166</v>
      </c>
      <c r="L13" s="41" t="s">
        <v>151</v>
      </c>
      <c r="M13" s="42">
        <v>98.0</v>
      </c>
      <c r="N13" s="37" t="s">
        <v>144</v>
      </c>
      <c r="O13" s="43">
        <v>69.0</v>
      </c>
      <c r="P13" s="44" t="s">
        <v>167</v>
      </c>
    </row>
  </sheetData>
  <conditionalFormatting sqref="F2:F13">
    <cfRule type="expression" dxfId="5" priority="1">
      <formula>F2="일반"</formula>
    </cfRule>
  </conditionalFormatting>
  <conditionalFormatting sqref="F2:F13">
    <cfRule type="expression" dxfId="6" priority="2">
      <formula>F2="레어"</formula>
    </cfRule>
  </conditionalFormatting>
  <conditionalFormatting sqref="F2:F13">
    <cfRule type="expression" dxfId="7" priority="3">
      <formula>F2="에픽"</formula>
    </cfRule>
  </conditionalFormatting>
  <conditionalFormatting sqref="F2:F13">
    <cfRule type="expression" dxfId="8" priority="4">
      <formula>F2="전설"</formula>
    </cfRule>
  </conditionalFormatting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2.0"/>
    <col customWidth="1" min="2" max="2" width="28.0"/>
    <col customWidth="1" min="3" max="3" width="16.0"/>
    <col customWidth="1" min="4" max="4" width="48.0"/>
    <col customWidth="1" min="5" max="26" width="8.63"/>
  </cols>
  <sheetData>
    <row r="1" ht="27.75" customHeight="1">
      <c r="A1" s="1" t="s">
        <v>0</v>
      </c>
    </row>
    <row r="3">
      <c r="A3" s="2" t="s">
        <v>1</v>
      </c>
      <c r="B3" s="3" t="s">
        <v>2</v>
      </c>
      <c r="C3" s="3" t="s">
        <v>3</v>
      </c>
      <c r="D3" s="4" t="s">
        <v>4</v>
      </c>
    </row>
    <row r="4">
      <c r="A4" s="5" t="s">
        <v>5</v>
      </c>
      <c r="B4" s="6" t="s">
        <v>6</v>
      </c>
      <c r="C4" s="6">
        <v>30.0</v>
      </c>
      <c r="D4" s="7" t="s">
        <v>7</v>
      </c>
    </row>
    <row r="5">
      <c r="A5" s="5" t="s">
        <v>5</v>
      </c>
      <c r="B5" s="6" t="s">
        <v>8</v>
      </c>
      <c r="C5" s="6">
        <v>15.0</v>
      </c>
      <c r="D5" s="7" t="s">
        <v>9</v>
      </c>
    </row>
    <row r="6">
      <c r="A6" s="5" t="s">
        <v>5</v>
      </c>
      <c r="B6" s="6" t="s">
        <v>10</v>
      </c>
      <c r="C6" s="6">
        <v>15.0</v>
      </c>
      <c r="D6" s="7" t="s">
        <v>11</v>
      </c>
    </row>
    <row r="7">
      <c r="A7" s="5" t="s">
        <v>5</v>
      </c>
      <c r="B7" s="6" t="s">
        <v>12</v>
      </c>
      <c r="C7" s="6">
        <v>10.0</v>
      </c>
      <c r="D7" s="7" t="s">
        <v>13</v>
      </c>
    </row>
    <row r="8">
      <c r="A8" s="5" t="s">
        <v>14</v>
      </c>
      <c r="B8" s="6" t="s">
        <v>15</v>
      </c>
      <c r="C8" s="6">
        <v>15.0</v>
      </c>
      <c r="D8" s="7" t="s">
        <v>16</v>
      </c>
    </row>
    <row r="9">
      <c r="A9" s="5" t="s">
        <v>14</v>
      </c>
      <c r="B9" s="6" t="s">
        <v>17</v>
      </c>
      <c r="C9" s="6">
        <v>10.0</v>
      </c>
      <c r="D9" s="7" t="s">
        <v>18</v>
      </c>
    </row>
    <row r="10">
      <c r="A10" s="8" t="s">
        <v>19</v>
      </c>
      <c r="B10" s="9" t="s">
        <v>20</v>
      </c>
      <c r="C10" s="9" t="s">
        <v>21</v>
      </c>
      <c r="D10" s="10" t="s">
        <v>22</v>
      </c>
    </row>
    <row r="11">
      <c r="A11" s="5" t="s">
        <v>23</v>
      </c>
      <c r="B11" s="6" t="s">
        <v>24</v>
      </c>
      <c r="C11" s="6" t="s">
        <v>23</v>
      </c>
      <c r="D11" s="7" t="s">
        <v>25</v>
      </c>
    </row>
    <row r="12">
      <c r="A12" s="5" t="s">
        <v>26</v>
      </c>
      <c r="B12" s="6" t="s">
        <v>27</v>
      </c>
      <c r="C12" s="6" t="s">
        <v>26</v>
      </c>
      <c r="D12" s="7" t="s">
        <v>28</v>
      </c>
    </row>
    <row r="13">
      <c r="A13" s="5" t="s">
        <v>29</v>
      </c>
      <c r="B13" s="6" t="s">
        <v>30</v>
      </c>
      <c r="C13" s="6" t="s">
        <v>29</v>
      </c>
      <c r="D13" s="7" t="s">
        <v>31</v>
      </c>
    </row>
    <row r="14">
      <c r="A14" s="5" t="s">
        <v>32</v>
      </c>
      <c r="B14" s="6" t="s">
        <v>33</v>
      </c>
      <c r="C14" s="6" t="s">
        <v>32</v>
      </c>
      <c r="D14" s="7" t="s">
        <v>34</v>
      </c>
    </row>
    <row r="15">
      <c r="A15" s="5"/>
      <c r="B15" s="6"/>
      <c r="C15" s="6"/>
      <c r="D15" s="7"/>
    </row>
    <row r="16">
      <c r="A16" s="8" t="s">
        <v>35</v>
      </c>
      <c r="B16" s="9" t="s">
        <v>36</v>
      </c>
      <c r="C16" s="9" t="s">
        <v>38</v>
      </c>
      <c r="D16" s="10" t="s">
        <v>39</v>
      </c>
    </row>
    <row r="17">
      <c r="A17" s="5" t="s">
        <v>40</v>
      </c>
      <c r="B17" s="6" t="s">
        <v>41</v>
      </c>
      <c r="C17" s="6" t="s">
        <v>42</v>
      </c>
      <c r="D17" s="7" t="s">
        <v>43</v>
      </c>
    </row>
    <row r="18">
      <c r="A18" s="5" t="s">
        <v>44</v>
      </c>
      <c r="B18" s="6" t="s">
        <v>45</v>
      </c>
      <c r="C18" s="6" t="s">
        <v>46</v>
      </c>
      <c r="D18" s="7" t="s">
        <v>47</v>
      </c>
    </row>
    <row r="19">
      <c r="A19" s="11" t="s">
        <v>4</v>
      </c>
      <c r="B19" s="13" t="s">
        <v>48</v>
      </c>
      <c r="C19" s="13"/>
      <c r="D19" s="14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D1"/>
  </mergeCells>
  <printOptions/>
  <pageMargins bottom="0.75" footer="0.0" header="0.0" left="0.7" right="0.7" top="0.75"/>
  <pageSetup orientation="landscape"/>
  <drawing r:id="rId1"/>
</worksheet>
</file>