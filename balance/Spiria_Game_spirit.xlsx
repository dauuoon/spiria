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DA4C9B76-8DAF-824E-AB14-6664E528356E}" xr6:coauthVersionLast="47" xr6:coauthVersionMax="47" xr10:uidLastSave="{00000000-0000-0000-0000-000000000000}"/>
  <bookViews>
    <workbookView xWindow="0" yWindow="880" windowWidth="18060" windowHeight="21360" xr2:uid="{00000000-000D-0000-FFFF-FFFF00000000}"/>
  </bookViews>
  <sheets>
    <sheet name="정령·의뢰서 합본" sheetId="1" r:id="rId1"/>
    <sheet name="일치율 계산 기준" sheetId="2" r:id="rId2"/>
  </sheets>
  <calcPr calcId="0"/>
</workbook>
</file>

<file path=xl/sharedStrings.xml><?xml version="1.0" encoding="utf-8"?>
<sst xmlns="http://schemas.openxmlformats.org/spreadsheetml/2006/main" count="268" uniqueCount="205">
  <si>
    <t>No.</t>
  </si>
  <si>
    <t>조합 순서 (1→2→3)</t>
  </si>
  <si>
    <t>정령명</t>
  </si>
  <si>
    <t>상세 배경 톤</t>
  </si>
  <si>
    <t>유형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</si>
  <si>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</si>
  <si>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</si>
  <si>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</si>
  <si>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</si>
  <si>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</si>
  <si>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</si>
  <si>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</si>
  <si>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</si>
  <si>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</si>
  <si>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</si>
  <si>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</si>
  <si>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소통 대사 1</t>
  </si>
  <si>
    <t>소통 대사 2</t>
  </si>
  <si>
    <t>소통 대사 3</t>
  </si>
  <si>
    <t>꽃 → 별 → 마법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</si>
  <si>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</si>
  <si>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</si>
  <si>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</si>
  <si>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</si>
  <si>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</si>
  <si>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</si>
  <si>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밤하늘, 소원, 꽃잎,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</si>
  <si>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</si>
  <si>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</si>
  <si>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</si>
  <si>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잎 → 바람 → 별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</si>
  <si>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</si>
  <si>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</si>
  <si>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</si>
  <si>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#1c4d35</t>
  </si>
  <si>
    <t>숲길, 흔들림, 꽃잎, 반짝임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</si>
  <si>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</si>
  <si>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</si>
  <si>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</si>
  <si>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흙 → 꽃 → 태양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</si>
  <si>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</si>
  <si>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</si>
  <si>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</si>
  <si>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#312714</t>
  </si>
  <si>
    <t>메마른 땅, 생명, 
에너지, 개화, 가치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</si>
  <si>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</si>
  <si>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</si>
  <si>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</si>
  <si>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 xml:space="preserve">물 → 달 → 별 </t>
  </si>
  <si>
    <t>플레오</t>
  </si>
  <si>
    <t>보라빛 신비</t>
  </si>
  <si>
    <t>동물형</t>
  </si>
  <si>
    <t>달빛이 비친 물가에 나타나는 작은 정령이다. 
꼬리에 맺힌 별빛을 물결 위에 놓아
안전한 길을 만든다.</t>
  </si>
  <si>
    <t>#4e4268</t>
  </si>
  <si>
    <t>호수, 밤, 하늘, 달빛, 공간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</si>
  <si>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</si>
  <si>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</si>
  <si>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</si>
  <si>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바람 → 꽃 → 보석</t>
  </si>
  <si>
    <t>꽃향기를 날개에 머금고
협곡과 숲 사이를 오가는 정령이다. 
몸 주변의 작은 결정이
향기가 흩어지지 않도록 붙잡아 준다.</t>
  </si>
  <si>
    <t>성장, 향기, 자유, 
전달, 광, 빛</t>
  </si>
  <si>
    <t>포리나: 의뢰 30+13+14+8=65 / 재료 15+10+5=30 / 총 95
루아: 의뢰 25+12+14+8=59 / 재료 8+5+2=15 / 총 74
루아도 바람길을 이용하지만 향기를 운반하는 전문성은 부족하다.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</si>
  <si>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</si>
  <si>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</si>
  <si>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</si>
  <si>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</si>
  <si>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</si>
  <si>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#5e4037</t>
  </si>
  <si>
    <t>열정, 수정, 땅속 열기, 
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</si>
  <si>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</si>
  <si>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</si>
  <si>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 xml:space="preserve">달 → 물 → 별 </t>
  </si>
  <si>
    <t>노바</t>
  </si>
  <si>
    <t>정령형</t>
  </si>
  <si>
    <t>밤의 호수에 머물던 노래가
달빛을 만나 태어난 정령이다. 
물결 위에 별빛 음표를 띄워 
멀리 떨어진 이에게 마음을 전한다.</t>
  </si>
  <si>
    <t>#614e73</t>
  </si>
  <si>
    <t>달빛, 파동, 물결,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</si>
  <si>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</si>
  <si>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</si>
  <si>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 xml:space="preserve">별 → 달 → 물 </t>
  </si>
  <si>
    <t>차가운 푸른빛</t>
  </si>
  <si>
    <t>호수에 비친 별빛과 달빛을 모아 
흐려진 기억을 다시 비춘다. 
말로 떠올리지 못하는 장면도 
물 위의 빛으로 보여준다.</t>
  </si>
  <si>
    <t>#414766</t>
  </si>
  <si>
    <t>유동, 별빛, 달밤, 만개, 기적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</si>
  <si>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</si>
  <si>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</si>
  <si>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태양 → 불 → 보석</t>
  </si>
  <si>
    <t>#7d5544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</si>
  <si>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</si>
  <si>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</si>
  <si>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</si>
  <si>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</si>
  <si>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</si>
  <si>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</si>
  <si>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#4b425c</t>
  </si>
  <si>
    <t>광휘,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</si>
  <si>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</si>
  <si>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</si>
  <si>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</si>
  <si>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에테르 → 물 → 달</t>
  </si>
  <si>
    <t>사라지는 기억을 고요한 물결 속에
봉인하는 고대 수호 정령이다.
달이 뜨는 밤이면 보존된 기억을 잠시 비춰준다.</t>
  </si>
  <si>
    <t>#363c5a</t>
  </si>
  <si>
    <t>무한, 소원,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</si>
  <si>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</si>
  <si>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</si>
  <si>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보석 → 태양 → 에테르</t>
  </si>
  <si>
    <t>전설</t>
  </si>
  <si>
    <t>오래된 세계의 경계를 지키도록
만들어진 수정 수호 정령이다.
태양빛을 결정에 응축해 균열과 어둠을 봉인한다.</t>
  </si>
  <si>
    <t>#6d513a</t>
  </si>
  <si>
    <t>고대, 유적, 봉인, 빛, 결정, 원소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</si>
  <si>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</si>
  <si>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</si>
  <si>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</si>
  <si>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</si>
  <si>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</si>
  <si>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</si>
  <si>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</si>
  <si>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</si>
  <si>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</si>
  <si>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</si>
  <si>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</si>
  <si>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</si>
  <si>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</si>
  <si>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</si>
  <si>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</si>
  <si>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</si>
  <si>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</si>
  <si>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</si>
  <si>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</si>
  <si>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</si>
  <si>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</si>
  <si>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</si>
  <si>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</si>
  <si>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</si>
  <si>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</si>
  <si>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</si>
  <si>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</si>
  <si>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</si>
  <si>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</si>
  <si>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</si>
  <si>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</si>
  <si>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</si>
  <si>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</si>
  <si>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</si>
  <si>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</si>
  <si>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</si>
  <si>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</si>
  <si>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</si>
  <si>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</si>
  <si>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결과 정령</t>
  </si>
  <si>
    <t>예시 1</t>
  </si>
  <si>
    <t>물 → 달 → 별</t>
  </si>
  <si>
    <t>예시 2</t>
  </si>
  <si>
    <t>달 → 물 → 별</t>
  </si>
  <si>
    <t>첫 번째 재료가 형태와 유형을 결정</t>
  </si>
  <si>
    <t>밤하늘의 별빛이 점점 사라지고 있습니다. 
꽃잎에 머무른 빛일까요, 
달빛 비친 호수에 스며든 빛일까요?</t>
    <phoneticPr fontId="5" type="noConversion"/>
  </si>
  <si>
    <t>태양의 빛을 몸속 결정에 담아 
식어 가는 불씨를 다시 밝히는 정령이다. 
오래 잠든 화로를 찾아다니며 
사라져 가는 온기를 세상에 되돌려 준다.</t>
    <phoneticPr fontId="5" type="noConversion"/>
  </si>
  <si>
    <t>햇빛, 온기, 점화, 생명, 빛</t>
    <phoneticPr fontId="5" type="noConversion"/>
  </si>
  <si>
    <t>거센 바람 때문에 꽃향기가 길을 
잃었습니다. 향기는 반짝이는 
결정에 머물고, 바람에 흔들리는 잎은 
별빛이 비치는 길을 알려준다고 합니다.</t>
    <phoneticPr fontId="5" type="noConversion"/>
  </si>
  <si>
    <t>태양은 떠 있는데도 들판엔 꽃 한 송이 
피지 않습니다. 따뜻한 햇살 아래 꺼져가는 
불꽃과 작은 결정만 희미하게 빛나고 있습니다.</t>
    <phoneticPr fontId="5" type="noConversion"/>
  </si>
  <si>
    <t>밤마다 호수 위로 짙은 물안개가 번집니다.
 달빛은 물결을 비추고, 희미한 별빛과 
신비로운 기운이 길을 이어 준다고 합니다.</t>
    <phoneticPr fontId="5" type="noConversion"/>
  </si>
  <si>
    <t>긴 겨울은 끝났지만 마을은 
아직 차갑습니다. 태양을 품은 결정일까요, 
땅속 깊은 열기와 오래된 마력일까요?</t>
    <phoneticPr fontId="5" type="noConversion"/>
  </si>
  <si>
    <t>[탐험 기록 일지 283]
달의 호수 위에 희미한 별빛이 보임. 
그 아래에는 꽃잎 하나가 사라진 
기억처럼 천천히 떠다니고 있음.</t>
    <phoneticPr fontId="5" type="noConversion"/>
  </si>
  <si>
    <t>[탐험 기록 일지 217]
고대 유적 봉인에 균열 발생. 결정은 
남아 있으나 빛이 약해지고, 
오래된 주문의 흔적도 함께 사라짐.</t>
    <phoneticPr fontId="5" type="noConversion"/>
  </si>
  <si>
    <t>대장장이의 화로가 식어 버렸습니다.
 화로속에는 땅속의 열기와 오래된 마력이 
아직 남아 있고, 태양빛을 머금은 
결정도 희미하게 빛나고 있습니다.</t>
    <phoneticPr fontId="5" type="noConversion"/>
  </si>
  <si>
    <t>탐험가는 안개 속에서 세 번이나 같은 길을 
걸었습니다. 바람에 흔들리는 잎은 별빛과 
함께 꽃향기는 작은 결정을 따라 
길을 안내해준다고 합니다.</t>
    <phoneticPr fontId="5" type="noConversion"/>
  </si>
  <si>
    <t>고대 서고의 사서가 헐레벌떡 달려왔습니다. 
"책의 글자가 사라지고 있어요!" 
신비로운 기운과 작은 태양의 결정만이 
책을 지키고 있습니다.</t>
    <phoneticPr fontId="5" type="noConversion"/>
  </si>
  <si>
    <t>호수 건너편으로 노랫소리가 들립니다. 
달빛은 잔잔한 물결을  따라 흐르고, 
별빛은 흩어진 마음을 이어 준다고 합니다.</t>
    <phoneticPr fontId="5" type="noConversion"/>
  </si>
  <si>
    <t>노인의 기억 속 소중했던 얼굴이 
점점 흐려지고 있습니다. 달빛 호수에서는 
별빛과 신비로운 물결이 
잊혀진 기억을 비춘다고 합니다.</t>
    <phoneticPr fontId="5" type="noConversion"/>
  </si>
  <si>
    <t>“길을 잃었다면 잠시 멈춰 봐. 
잎이 흔들리는 쪽을 알려 줄게.”</t>
    <phoneticPr fontId="5" type="noConversion"/>
  </si>
  <si>
    <t>“천천히 걸어도 괜찮아. 
올바른 길은 사라지지 않으니까.”</t>
    <phoneticPr fontId="5" type="noConversion"/>
  </si>
  <si>
    <t>“오늘도 작은 소원 하나가 꽃잎에 내려앉았어.”</t>
    <phoneticPr fontId="5" type="noConversion"/>
  </si>
  <si>
    <t>“네 소원도 잠시 내가 간직해 줄까?”</t>
    <phoneticPr fontId="5" type="noConversion"/>
  </si>
  <si>
    <t>“아직 이루어지지 않았다고 사라진 건 아니야.”</t>
    <phoneticPr fontId="5" type="noConversion"/>
  </si>
  <si>
    <t>“바람이 지나간 길은 잎맥에 오래 남아 있어.”</t>
    <phoneticPr fontId="5" type="noConversion"/>
  </si>
  <si>
    <t>“메마른 땅속에도 아직 작은 온기가 남아 있어.”</t>
    <phoneticPr fontId="5" type="noConversion"/>
  </si>
  <si>
    <t>“오늘은 네 마음에 어떤 꽃을 피워 볼까?”</t>
    <phoneticPr fontId="5" type="noConversion"/>
  </si>
  <si>
    <t>“아무것도 자라지 않는 것처럼 보여도, 
뿌리는 조용히 준비하고 있어.”</t>
    <phoneticPr fontId="5" type="noConversion"/>
  </si>
  <si>
    <t>“물안개가 짙어지면 내 꼬리의 별빛을 따라와.”</t>
    <phoneticPr fontId="5" type="noConversion"/>
  </si>
  <si>
    <t>“길이 잘 보이지 않아도 괜찮아. 
내가 물결 위에 하나씩 놓아 줄게.”</t>
    <phoneticPr fontId="5" type="noConversion"/>
  </si>
  <si>
    <t>“멀리 보이지 않는 밤에는, 
바로 앞의 작은 빛만 따라가도 돼.”</t>
    <phoneticPr fontId="5" type="noConversion"/>
  </si>
  <si>
    <t>“꽃향기는 사라지는 게 아니라 
새로운 곳으로 여행하는 거야.”</t>
    <phoneticPr fontId="5" type="noConversion"/>
  </si>
  <si>
    <t>“오늘 네 마음에 좋은 향기가 머물렀으면 좋겠어.”</t>
    <phoneticPr fontId="5" type="noConversion"/>
  </si>
  <si>
    <t>“바람에 흔들려도, 
네가 가진 향기까지 잃는 건 아니야.”</t>
    <phoneticPr fontId="5" type="noConversion"/>
  </si>
  <si>
    <t>“꺼진 줄 알았던 불씨도 가까이 보면 아직 따뜻해.”</t>
    <phoneticPr fontId="5" type="noConversion"/>
  </si>
  <si>
    <t>“조금 지쳤어? 
내가 네 곁에서 작은 온기를 지켜 줄게.”</t>
    <phoneticPr fontId="5" type="noConversion"/>
  </si>
  <si>
    <t>“다시 타오르기 위해 잠시 작아지는 불꽃도 있어.”</t>
    <phoneticPr fontId="5" type="noConversion"/>
  </si>
  <si>
    <t>“전하지 못한 마음은 
밤의 물결 위에서 계속 노래하고 있어.”</t>
    <phoneticPr fontId="5" type="noConversion"/>
  </si>
  <si>
    <t>“네가 하고 싶었던 말, 내가 별빛에 실어 보내 줄까?”</t>
    <phoneticPr fontId="5" type="noConversion"/>
  </si>
  <si>
    <t>“진심은 늦게 도착해도 결국 누군가의 마음에 닿아.”</t>
    <phoneticPr fontId="5" type="noConversion"/>
  </si>
  <si>
    <t>“잊었다고 생각한 장면도 
빛을 비추면 다시 떠오를 수 있어.”</t>
    <phoneticPr fontId="5" type="noConversion"/>
  </si>
  <si>
    <t>“오늘 기억하고 싶은 순간이 있다면 내게 보여 줘.”</t>
    <phoneticPr fontId="5" type="noConversion"/>
  </si>
  <si>
    <t>“흐려진 기억도 네 마음에 남긴 
온기까지 사라지진 않아.”</t>
    <phoneticPr fontId="5" type="noConversion"/>
  </si>
  <si>
    <t>“태양의 빛은 작은 결정 속에서도 오래 머물 수 있어.”</t>
    <phoneticPr fontId="5" type="noConversion"/>
  </si>
  <si>
    <t>“추운 하루였지? 내가 조금 따뜻하게 밝혀 줄게.”</t>
    <phoneticPr fontId="5" type="noConversion"/>
  </si>
  <si>
    <t>“따뜻함은 크기보다 오래 지켜 주는 마음에서 생겨.”</t>
    <phoneticPr fontId="5" type="noConversion"/>
  </si>
  <si>
    <t>“잊고 싶지 않은 말이 있다면 천천히 들려줘.”</t>
    <phoneticPr fontId="5" type="noConversion"/>
  </si>
  <si>
    <t>“기록하지 못한 순간도 
네 안에서는 의미를 잃지 않아.”</t>
    <phoneticPr fontId="5" type="noConversion"/>
  </si>
  <si>
    <t>“사라지는 이야기는 
내가 작은 결정에 새겨 두고 있어.”</t>
    <phoneticPr fontId="5" type="noConversion"/>
  </si>
  <si>
    <t>“소중한 기억은 고요한 물결 속에 
잠시 쉬고 있을 뿐이야.”</t>
    <phoneticPr fontId="5" type="noConversion"/>
  </si>
  <si>
    <t>“기억이 흐려져도 
그 사람을 아꼈던 마음은 남아 있어.”</t>
    <phoneticPr fontId="5" type="noConversion"/>
  </si>
  <si>
    <t>“오늘 떠오른 얼굴이 있다면 
내가 달빛으로 비춰 줄게.”</t>
    <phoneticPr fontId="5" type="noConversion"/>
  </si>
  <si>
    <t>“아주 작은 균열도 오래 두면 
어둠이 스며들 수 있어.”</t>
    <phoneticPr fontId="5" type="noConversion"/>
  </si>
  <si>
    <t>“네가 지키고 싶은 것이 있다면 
내 결정 곁에 맡겨 둬.”</t>
    <phoneticPr fontId="5" type="noConversion"/>
  </si>
  <si>
    <t>“강하다는 건 무너지지 않는 게 아니라, 
다시 세우는 일이야.”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</si>
</sst>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&quot;%&quot;"/>
  </numFmts>
  <fonts count="7">
    <font>
      <sz val="11"/>
      <color rgb="FF000000"/>
      <name val="Carlito"/>
      <scheme val="minor"/>
    </font>
    <font>
      <b/>
      <sz val="14"/>
      <color rgb="FFFFFFFF"/>
      <name val="Carlito"/>
      <charset val="129"/>
    </font>
    <font>
      <b/>
      <sz val="11"/>
      <color rgb="FFFFFFFF"/>
      <name val="Carlito"/>
      <charset val="129"/>
    </font>
    <font>
      <sz val="11"/>
      <color theme="1"/>
      <name val="Carlito"/>
      <charset val="129"/>
    </font>
    <font>
      <b/>
      <sz val="11"/>
      <color theme="1"/>
      <name val="Carlito"/>
      <charset val="129"/>
    </font>
    <font>
      <sz val="8"/>
      <name val="Carlito"/>
      <family val="3"/>
      <charset val="129"/>
      <scheme val="minor"/>
    </font>
    <font>
      <sz val="11"/>
      <color rgb="FF000000"/>
      <name val="Carlito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49" fontId="2" fillId="2" borderId="0" xfId="0" applyNumberFormat="1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176" fontId="3" fillId="5" borderId="10" xfId="0" applyNumberFormat="1" applyFont="1" applyFill="1" applyBorder="1" applyAlignment="1">
      <alignment horizontal="center" vertical="center" wrapText="1"/>
    </xf>
    <xf numFmtId="176" fontId="3" fillId="4" borderId="10" xfId="0" applyNumberFormat="1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/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iriaSpiritQuestTable" displayName="SpiriaSpiritQuestTable" ref="A1:P13">
  <tableColumns count="16">
    <tableColumn id="1" xr3:uid="{00000000-0010-0000-0000-000001000000}" name="No."/>
    <tableColumn id="2" xr3:uid="{00000000-0010-0000-0000-000002000000}" name="조합 순서 (1→2→3)"/>
    <tableColumn id="3" xr3:uid="{00000000-0010-0000-0000-000003000000}" name="정령명"/>
    <tableColumn id="4" xr3:uid="{00000000-0010-0000-0000-000004000000}" name="상세 배경 톤"/>
    <tableColumn id="5" xr3:uid="{00000000-0010-0000-0000-000005000000}" name="유형"/>
    <tableColumn id="6" xr3:uid="{00000000-0010-0000-0000-000006000000}" name="희귀도"/>
    <tableColumn id="7" xr3:uid="{00000000-0010-0000-0000-000007000000}" name="정령 스토리"/>
    <tableColumn id="8" xr3:uid="{00000000-0010-0000-0000-000008000000}" name="정령 스토리 박스 색"/>
    <tableColumn id="9" xr3:uid="{00000000-0010-0000-0000-000009000000}" name="의뢰서 내용"/>
    <tableColumn id="10" xr3:uid="{00000000-0010-0000-0000-00000A000000}" name="핵심 키워드"/>
    <tableColumn id="11" xr3:uid="{00000000-0010-0000-0000-00000B000000}" name="핵심 키워드 폰트색"/>
    <tableColumn id="12" xr3:uid="{00000000-0010-0000-0000-00000C000000}" name="정답 후보"/>
    <tableColumn id="13" xr3:uid="{00000000-0010-0000-0000-00000D000000}" name="정답 일치율"/>
    <tableColumn id="14" xr3:uid="{00000000-0010-0000-0000-00000E000000}" name="비교 후보"/>
    <tableColumn id="15" xr3:uid="{00000000-0010-0000-0000-00000F000000}" name="비교 후보 일치율"/>
    <tableColumn id="16" xr3:uid="{00000000-0010-0000-0000-000010000000}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"/>
  <sheetViews>
    <sheetView tabSelected="1" topLeftCell="P1" zoomScale="87" workbookViewId="0">
      <pane ySplit="1" topLeftCell="A5" activePane="bottomLeft" state="frozen"/>
      <selection pane="bottomLeft" activeCell="Q17" sqref="Q17"/>
    </sheetView>
  </sheetViews>
  <sheetFormatPr baseColWidth="10" defaultColWidth="12.6640625" defaultRowHeight="15" customHeight="1"/>
  <cols>
    <col min="1" max="1" width="7.33203125" customWidth="1"/>
    <col min="2" max="2" width="18" customWidth="1"/>
    <col min="3" max="3" width="11" customWidth="1"/>
    <col min="4" max="4" width="12.83203125" customWidth="1"/>
    <col min="5" max="5" width="10" customWidth="1"/>
    <col min="6" max="6" width="9" customWidth="1"/>
    <col min="7" max="7" width="37" customWidth="1"/>
    <col min="8" max="8" width="9.83203125" customWidth="1"/>
    <col min="9" max="9" width="58.1640625" customWidth="1"/>
    <col min="10" max="10" width="28.83203125" customWidth="1"/>
    <col min="11" max="11" width="9.1640625" customWidth="1"/>
    <col min="12" max="14" width="12" customWidth="1"/>
    <col min="15" max="15" width="14" customWidth="1"/>
    <col min="16" max="16" width="46" customWidth="1"/>
    <col min="17" max="19" width="39.5" customWidth="1"/>
  </cols>
  <sheetData>
    <row r="1" spans="1:19" ht="33.75" customHeight="1">
      <c r="A1" s="11" t="s">
        <v>0</v>
      </c>
      <c r="B1" s="11" t="s">
        <v>1</v>
      </c>
      <c r="C1" s="11" t="s">
        <v>2</v>
      </c>
      <c r="D1" s="14" t="s">
        <v>3</v>
      </c>
      <c r="E1" s="11" t="s">
        <v>4</v>
      </c>
      <c r="F1" s="11" t="s">
        <v>5</v>
      </c>
      <c r="G1" s="11" t="s">
        <v>6</v>
      </c>
      <c r="H1" s="14" t="s">
        <v>7</v>
      </c>
      <c r="I1" s="11" t="s">
        <v>8</v>
      </c>
      <c r="J1" s="11" t="s">
        <v>9</v>
      </c>
      <c r="K1" s="14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</row>
    <row r="2" spans="1:19" ht="91.5" customHeight="1">
      <c r="A2" s="15">
        <v>1</v>
      </c>
      <c r="B2" s="16" t="s">
        <v>19</v>
      </c>
      <c r="C2" s="17" t="s">
        <v>20</v>
      </c>
      <c r="D2" s="16" t="s">
        <v>21</v>
      </c>
      <c r="E2" s="16" t="s">
        <v>22</v>
      </c>
      <c r="F2" s="18" t="s">
        <v>23</v>
      </c>
      <c r="G2" s="16" t="s">
        <v>24</v>
      </c>
      <c r="H2" s="16" t="s">
        <v>25</v>
      </c>
      <c r="I2" s="16" t="s">
        <v>155</v>
      </c>
      <c r="J2" s="16" t="s">
        <v>26</v>
      </c>
      <c r="K2" s="16" t="s">
        <v>27</v>
      </c>
      <c r="L2" s="19" t="s">
        <v>20</v>
      </c>
      <c r="M2" s="20">
        <v>94</v>
      </c>
      <c r="N2" s="17" t="s">
        <v>28</v>
      </c>
      <c r="O2" s="21">
        <v>74</v>
      </c>
      <c r="P2" s="22" t="s">
        <v>29</v>
      </c>
      <c r="Q2" s="43" t="s">
        <v>173</v>
      </c>
      <c r="R2" s="43" t="s">
        <v>171</v>
      </c>
      <c r="S2" s="43" t="s">
        <v>172</v>
      </c>
    </row>
    <row r="3" spans="1:19" ht="91.5" customHeight="1">
      <c r="A3" s="23">
        <v>2</v>
      </c>
      <c r="B3" s="24" t="s">
        <v>30</v>
      </c>
      <c r="C3" s="25" t="s">
        <v>31</v>
      </c>
      <c r="D3" s="24" t="s">
        <v>32</v>
      </c>
      <c r="E3" s="24" t="s">
        <v>22</v>
      </c>
      <c r="F3" s="24" t="s">
        <v>23</v>
      </c>
      <c r="G3" s="26" t="s">
        <v>33</v>
      </c>
      <c r="H3" s="26" t="s">
        <v>34</v>
      </c>
      <c r="I3" s="26" t="s">
        <v>165</v>
      </c>
      <c r="J3" s="26" t="s">
        <v>35</v>
      </c>
      <c r="K3" s="26" t="s">
        <v>36</v>
      </c>
      <c r="L3" s="27" t="s">
        <v>31</v>
      </c>
      <c r="M3" s="28">
        <v>95</v>
      </c>
      <c r="N3" s="29" t="s">
        <v>37</v>
      </c>
      <c r="O3" s="30">
        <v>72</v>
      </c>
      <c r="P3" s="31" t="s">
        <v>38</v>
      </c>
      <c r="Q3" s="43" t="s">
        <v>169</v>
      </c>
      <c r="R3" s="43" t="s">
        <v>174</v>
      </c>
      <c r="S3" s="43" t="s">
        <v>170</v>
      </c>
    </row>
    <row r="4" spans="1:19" ht="91.5" customHeight="1">
      <c r="A4" s="32">
        <v>3</v>
      </c>
      <c r="B4" s="33" t="s">
        <v>39</v>
      </c>
      <c r="C4" s="34" t="s">
        <v>40</v>
      </c>
      <c r="D4" s="35" t="s">
        <v>21</v>
      </c>
      <c r="E4" s="33" t="s">
        <v>22</v>
      </c>
      <c r="F4" s="36" t="s">
        <v>41</v>
      </c>
      <c r="G4" s="33" t="s">
        <v>42</v>
      </c>
      <c r="H4" s="33" t="s">
        <v>43</v>
      </c>
      <c r="I4" s="33" t="s">
        <v>159</v>
      </c>
      <c r="J4" s="33" t="s">
        <v>44</v>
      </c>
      <c r="K4" s="33" t="s">
        <v>45</v>
      </c>
      <c r="L4" s="37" t="s">
        <v>40</v>
      </c>
      <c r="M4" s="38">
        <v>93</v>
      </c>
      <c r="N4" s="34" t="s">
        <v>46</v>
      </c>
      <c r="O4" s="39">
        <v>76</v>
      </c>
      <c r="P4" s="40" t="s">
        <v>47</v>
      </c>
      <c r="Q4" s="43" t="s">
        <v>177</v>
      </c>
      <c r="R4" s="46" t="s">
        <v>175</v>
      </c>
      <c r="S4" s="46" t="s">
        <v>176</v>
      </c>
    </row>
    <row r="5" spans="1:19" ht="91.5" customHeight="1">
      <c r="A5" s="41">
        <v>4</v>
      </c>
      <c r="B5" s="26" t="s">
        <v>48</v>
      </c>
      <c r="C5" s="29" t="s">
        <v>49</v>
      </c>
      <c r="D5" s="26" t="s">
        <v>50</v>
      </c>
      <c r="E5" s="26" t="s">
        <v>51</v>
      </c>
      <c r="F5" s="24" t="s">
        <v>23</v>
      </c>
      <c r="G5" s="26" t="s">
        <v>52</v>
      </c>
      <c r="H5" s="26" t="s">
        <v>53</v>
      </c>
      <c r="I5" s="26" t="s">
        <v>160</v>
      </c>
      <c r="J5" s="26" t="s">
        <v>54</v>
      </c>
      <c r="K5" s="26" t="s">
        <v>55</v>
      </c>
      <c r="L5" s="27" t="s">
        <v>49</v>
      </c>
      <c r="M5" s="28">
        <v>94</v>
      </c>
      <c r="N5" s="29" t="s">
        <v>56</v>
      </c>
      <c r="O5" s="30">
        <v>73</v>
      </c>
      <c r="P5" s="31" t="s">
        <v>57</v>
      </c>
      <c r="Q5" s="43" t="s">
        <v>179</v>
      </c>
      <c r="R5" s="46" t="s">
        <v>178</v>
      </c>
      <c r="S5" s="43" t="s">
        <v>180</v>
      </c>
    </row>
    <row r="6" spans="1:19" ht="91.5" customHeight="1">
      <c r="A6" s="41">
        <v>5</v>
      </c>
      <c r="B6" s="26" t="s">
        <v>58</v>
      </c>
      <c r="C6" s="29" t="s">
        <v>37</v>
      </c>
      <c r="D6" s="26" t="s">
        <v>21</v>
      </c>
      <c r="E6" s="26" t="s">
        <v>51</v>
      </c>
      <c r="F6" s="24" t="s">
        <v>41</v>
      </c>
      <c r="G6" s="26" t="s">
        <v>59</v>
      </c>
      <c r="H6" s="16" t="s">
        <v>25</v>
      </c>
      <c r="I6" s="26" t="s">
        <v>158</v>
      </c>
      <c r="J6" s="26" t="s">
        <v>60</v>
      </c>
      <c r="K6" s="16" t="s">
        <v>27</v>
      </c>
      <c r="L6" s="27" t="s">
        <v>37</v>
      </c>
      <c r="M6" s="28">
        <v>95</v>
      </c>
      <c r="N6" s="29" t="s">
        <v>31</v>
      </c>
      <c r="O6" s="30">
        <v>74</v>
      </c>
      <c r="P6" s="31" t="s">
        <v>61</v>
      </c>
      <c r="Q6" s="46" t="s">
        <v>182</v>
      </c>
      <c r="R6" s="43" t="s">
        <v>181</v>
      </c>
      <c r="S6" s="43" t="s">
        <v>183</v>
      </c>
    </row>
    <row r="7" spans="1:19" ht="91.5" customHeight="1">
      <c r="A7" s="32">
        <v>6</v>
      </c>
      <c r="B7" s="33" t="s">
        <v>62</v>
      </c>
      <c r="C7" s="34" t="s">
        <v>63</v>
      </c>
      <c r="D7" s="33" t="s">
        <v>64</v>
      </c>
      <c r="E7" s="33" t="s">
        <v>51</v>
      </c>
      <c r="F7" s="36" t="s">
        <v>65</v>
      </c>
      <c r="G7" s="33" t="s">
        <v>66</v>
      </c>
      <c r="H7" s="33" t="s">
        <v>67</v>
      </c>
      <c r="I7" s="33" t="s">
        <v>164</v>
      </c>
      <c r="J7" s="33" t="s">
        <v>68</v>
      </c>
      <c r="K7" s="33" t="s">
        <v>69</v>
      </c>
      <c r="L7" s="37" t="s">
        <v>63</v>
      </c>
      <c r="M7" s="38">
        <v>96</v>
      </c>
      <c r="N7" s="34" t="s">
        <v>46</v>
      </c>
      <c r="O7" s="39">
        <v>75</v>
      </c>
      <c r="P7" s="40" t="s">
        <v>70</v>
      </c>
      <c r="Q7" s="46" t="s">
        <v>184</v>
      </c>
      <c r="R7" s="43" t="s">
        <v>185</v>
      </c>
      <c r="S7" s="46" t="s">
        <v>186</v>
      </c>
    </row>
    <row r="8" spans="1:19" ht="91.5" customHeight="1">
      <c r="A8" s="41">
        <v>7</v>
      </c>
      <c r="B8" s="26" t="s">
        <v>71</v>
      </c>
      <c r="C8" s="29" t="s">
        <v>72</v>
      </c>
      <c r="D8" s="26" t="s">
        <v>50</v>
      </c>
      <c r="E8" s="26" t="s">
        <v>73</v>
      </c>
      <c r="F8" s="24" t="s">
        <v>41</v>
      </c>
      <c r="G8" s="26" t="s">
        <v>74</v>
      </c>
      <c r="H8" s="26" t="s">
        <v>75</v>
      </c>
      <c r="I8" s="26" t="s">
        <v>167</v>
      </c>
      <c r="J8" s="26" t="s">
        <v>76</v>
      </c>
      <c r="K8" s="26" t="s">
        <v>77</v>
      </c>
      <c r="L8" s="27" t="s">
        <v>72</v>
      </c>
      <c r="M8" s="28">
        <v>95</v>
      </c>
      <c r="N8" s="29" t="s">
        <v>28</v>
      </c>
      <c r="O8" s="30">
        <v>74</v>
      </c>
      <c r="P8" s="31" t="s">
        <v>78</v>
      </c>
      <c r="Q8" s="43" t="s">
        <v>187</v>
      </c>
      <c r="R8" s="46" t="s">
        <v>188</v>
      </c>
      <c r="S8" s="46" t="s">
        <v>189</v>
      </c>
    </row>
    <row r="9" spans="1:19" ht="91.5" customHeight="1">
      <c r="A9" s="41">
        <v>8</v>
      </c>
      <c r="B9" s="26" t="s">
        <v>79</v>
      </c>
      <c r="C9" s="29" t="s">
        <v>28</v>
      </c>
      <c r="D9" s="26" t="s">
        <v>80</v>
      </c>
      <c r="E9" s="26" t="s">
        <v>73</v>
      </c>
      <c r="F9" s="24" t="s">
        <v>41</v>
      </c>
      <c r="G9" s="26" t="s">
        <v>81</v>
      </c>
      <c r="H9" s="26" t="s">
        <v>82</v>
      </c>
      <c r="I9" s="26" t="s">
        <v>162</v>
      </c>
      <c r="J9" s="26" t="s">
        <v>83</v>
      </c>
      <c r="K9" s="26" t="s">
        <v>84</v>
      </c>
      <c r="L9" s="27" t="s">
        <v>28</v>
      </c>
      <c r="M9" s="28">
        <v>95</v>
      </c>
      <c r="N9" s="29" t="s">
        <v>20</v>
      </c>
      <c r="O9" s="30">
        <v>73</v>
      </c>
      <c r="P9" s="31" t="s">
        <v>85</v>
      </c>
      <c r="Q9" s="43" t="s">
        <v>192</v>
      </c>
      <c r="R9" s="43" t="s">
        <v>190</v>
      </c>
      <c r="S9" s="46" t="s">
        <v>191</v>
      </c>
    </row>
    <row r="10" spans="1:19" ht="91.5" customHeight="1">
      <c r="A10" s="32">
        <v>9</v>
      </c>
      <c r="B10" s="33" t="s">
        <v>86</v>
      </c>
      <c r="C10" s="34" t="s">
        <v>46</v>
      </c>
      <c r="D10" s="33" t="s">
        <v>21</v>
      </c>
      <c r="E10" s="33" t="s">
        <v>73</v>
      </c>
      <c r="F10" s="36" t="s">
        <v>65</v>
      </c>
      <c r="G10" s="42" t="s">
        <v>156</v>
      </c>
      <c r="H10" s="33" t="s">
        <v>87</v>
      </c>
      <c r="I10" s="33" t="s">
        <v>161</v>
      </c>
      <c r="J10" s="33" t="s">
        <v>157</v>
      </c>
      <c r="K10" s="33" t="s">
        <v>88</v>
      </c>
      <c r="L10" s="37" t="s">
        <v>46</v>
      </c>
      <c r="M10" s="38">
        <v>94</v>
      </c>
      <c r="N10" s="34" t="s">
        <v>63</v>
      </c>
      <c r="O10" s="39">
        <v>76</v>
      </c>
      <c r="P10" s="40" t="s">
        <v>89</v>
      </c>
      <c r="Q10" s="46" t="s">
        <v>194</v>
      </c>
      <c r="R10" s="46" t="s">
        <v>193</v>
      </c>
      <c r="S10" s="46" t="s">
        <v>195</v>
      </c>
    </row>
    <row r="11" spans="1:19" ht="91.5" customHeight="1">
      <c r="A11" s="41">
        <v>10</v>
      </c>
      <c r="B11" s="26" t="s">
        <v>90</v>
      </c>
      <c r="C11" s="29" t="s">
        <v>91</v>
      </c>
      <c r="D11" s="26" t="s">
        <v>50</v>
      </c>
      <c r="E11" s="26" t="s">
        <v>92</v>
      </c>
      <c r="F11" s="24" t="s">
        <v>41</v>
      </c>
      <c r="G11" s="26" t="s">
        <v>93</v>
      </c>
      <c r="H11" s="26" t="s">
        <v>94</v>
      </c>
      <c r="I11" s="26" t="s">
        <v>166</v>
      </c>
      <c r="J11" s="26" t="s">
        <v>95</v>
      </c>
      <c r="K11" s="26" t="s">
        <v>96</v>
      </c>
      <c r="L11" s="27" t="s">
        <v>91</v>
      </c>
      <c r="M11" s="28">
        <v>94</v>
      </c>
      <c r="N11" s="29" t="s">
        <v>97</v>
      </c>
      <c r="O11" s="30">
        <v>71</v>
      </c>
      <c r="P11" s="31" t="s">
        <v>98</v>
      </c>
      <c r="Q11" s="43" t="s">
        <v>198</v>
      </c>
      <c r="R11" s="46" t="s">
        <v>196</v>
      </c>
      <c r="S11" s="43" t="s">
        <v>197</v>
      </c>
    </row>
    <row r="12" spans="1:19" ht="91.5" customHeight="1">
      <c r="A12" s="41">
        <v>11</v>
      </c>
      <c r="B12" s="26" t="s">
        <v>99</v>
      </c>
      <c r="C12" s="29" t="s">
        <v>56</v>
      </c>
      <c r="D12" s="26" t="s">
        <v>80</v>
      </c>
      <c r="E12" s="26" t="s">
        <v>92</v>
      </c>
      <c r="F12" s="24" t="s">
        <v>65</v>
      </c>
      <c r="G12" s="26" t="s">
        <v>100</v>
      </c>
      <c r="H12" s="26" t="s">
        <v>101</v>
      </c>
      <c r="I12" s="26" t="s">
        <v>168</v>
      </c>
      <c r="J12" s="26" t="s">
        <v>102</v>
      </c>
      <c r="K12" s="26" t="s">
        <v>103</v>
      </c>
      <c r="L12" s="27" t="s">
        <v>56</v>
      </c>
      <c r="M12" s="28">
        <v>95</v>
      </c>
      <c r="N12" s="29" t="s">
        <v>72</v>
      </c>
      <c r="O12" s="30">
        <v>72</v>
      </c>
      <c r="P12" s="31" t="s">
        <v>104</v>
      </c>
      <c r="Q12" s="43" t="s">
        <v>200</v>
      </c>
      <c r="R12" s="43" t="s">
        <v>199</v>
      </c>
      <c r="S12" s="43" t="s">
        <v>201</v>
      </c>
    </row>
    <row r="13" spans="1:19" ht="91.5" customHeight="1">
      <c r="A13" s="32">
        <v>12</v>
      </c>
      <c r="B13" s="33" t="s">
        <v>105</v>
      </c>
      <c r="C13" s="34" t="s">
        <v>97</v>
      </c>
      <c r="D13" s="33" t="s">
        <v>21</v>
      </c>
      <c r="E13" s="33" t="s">
        <v>92</v>
      </c>
      <c r="F13" s="36" t="s">
        <v>106</v>
      </c>
      <c r="G13" s="33" t="s">
        <v>107</v>
      </c>
      <c r="H13" s="33" t="s">
        <v>108</v>
      </c>
      <c r="I13" s="33" t="s">
        <v>163</v>
      </c>
      <c r="J13" s="33" t="s">
        <v>109</v>
      </c>
      <c r="K13" s="33" t="s">
        <v>110</v>
      </c>
      <c r="L13" s="37" t="s">
        <v>97</v>
      </c>
      <c r="M13" s="38">
        <v>98</v>
      </c>
      <c r="N13" s="34" t="s">
        <v>91</v>
      </c>
      <c r="O13" s="39">
        <v>69</v>
      </c>
      <c r="P13" s="40" t="s">
        <v>111</v>
      </c>
      <c r="Q13" s="43" t="s">
        <v>204</v>
      </c>
      <c r="R13" s="43" t="s">
        <v>202</v>
      </c>
      <c r="S13" s="43" t="s">
        <v>203</v>
      </c>
    </row>
  </sheetData>
  <phoneticPr fontId="5" type="noConversion"/>
  <conditionalFormatting sqref="F2:F13">
    <cfRule type="expression" dxfId="3" priority="1">
      <formula>F2="일반"</formula>
    </cfRule>
    <cfRule type="expression" dxfId="2" priority="2">
      <formula>F2="레어"</formula>
    </cfRule>
    <cfRule type="expression" dxfId="1" priority="3">
      <formula>F2="에픽"</formula>
    </cfRule>
    <cfRule type="expression" dxfId="0" priority="4">
      <formula>F2="전설"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2" customWidth="1"/>
    <col min="2" max="2" width="28" customWidth="1"/>
    <col min="3" max="3" width="16" customWidth="1"/>
    <col min="4" max="4" width="48" customWidth="1"/>
    <col min="5" max="26" width="8.6640625" customWidth="1"/>
  </cols>
  <sheetData>
    <row r="1" spans="1:4" ht="27.75" customHeight="1">
      <c r="A1" s="44" t="s">
        <v>112</v>
      </c>
      <c r="B1" s="45"/>
      <c r="C1" s="45"/>
      <c r="D1" s="45"/>
    </row>
    <row r="3" spans="1:4" ht="18" customHeight="1">
      <c r="A3" s="1" t="s">
        <v>113</v>
      </c>
      <c r="B3" s="2" t="s">
        <v>114</v>
      </c>
      <c r="C3" s="2" t="s">
        <v>115</v>
      </c>
      <c r="D3" s="3" t="s">
        <v>116</v>
      </c>
    </row>
    <row r="4" spans="1:4" ht="36" customHeight="1">
      <c r="A4" s="4" t="s">
        <v>117</v>
      </c>
      <c r="B4" s="5" t="s">
        <v>118</v>
      </c>
      <c r="C4" s="5">
        <v>30</v>
      </c>
      <c r="D4" s="6" t="s">
        <v>119</v>
      </c>
    </row>
    <row r="5" spans="1:4" ht="18" customHeight="1">
      <c r="A5" s="4" t="s">
        <v>117</v>
      </c>
      <c r="B5" s="5" t="s">
        <v>120</v>
      </c>
      <c r="C5" s="5">
        <v>15</v>
      </c>
      <c r="D5" s="6" t="s">
        <v>121</v>
      </c>
    </row>
    <row r="6" spans="1:4" ht="18" customHeight="1">
      <c r="A6" s="4" t="s">
        <v>117</v>
      </c>
      <c r="B6" s="5" t="s">
        <v>122</v>
      </c>
      <c r="C6" s="5">
        <v>15</v>
      </c>
      <c r="D6" s="6" t="s">
        <v>123</v>
      </c>
    </row>
    <row r="7" spans="1:4" ht="18" customHeight="1">
      <c r="A7" s="4" t="s">
        <v>117</v>
      </c>
      <c r="B7" s="5" t="s">
        <v>124</v>
      </c>
      <c r="C7" s="5">
        <v>10</v>
      </c>
      <c r="D7" s="6" t="s">
        <v>125</v>
      </c>
    </row>
    <row r="8" spans="1:4" ht="18" customHeight="1">
      <c r="A8" s="4" t="s">
        <v>126</v>
      </c>
      <c r="B8" s="5" t="s">
        <v>127</v>
      </c>
      <c r="C8" s="5">
        <v>15</v>
      </c>
      <c r="D8" s="6" t="s">
        <v>128</v>
      </c>
    </row>
    <row r="9" spans="1:4" ht="18" customHeight="1">
      <c r="A9" s="4" t="s">
        <v>126</v>
      </c>
      <c r="B9" s="5" t="s">
        <v>129</v>
      </c>
      <c r="C9" s="5">
        <v>10</v>
      </c>
      <c r="D9" s="6" t="s">
        <v>130</v>
      </c>
    </row>
    <row r="10" spans="1:4" ht="18" customHeight="1">
      <c r="A10" s="7" t="s">
        <v>131</v>
      </c>
      <c r="B10" s="8" t="s">
        <v>132</v>
      </c>
      <c r="C10" s="8" t="s">
        <v>133</v>
      </c>
      <c r="D10" s="9" t="s">
        <v>134</v>
      </c>
    </row>
    <row r="11" spans="1:4" ht="18" customHeight="1">
      <c r="A11" s="4" t="s">
        <v>135</v>
      </c>
      <c r="B11" s="5" t="s">
        <v>136</v>
      </c>
      <c r="C11" s="5" t="s">
        <v>135</v>
      </c>
      <c r="D11" s="6" t="s">
        <v>137</v>
      </c>
    </row>
    <row r="12" spans="1:4" ht="18" customHeight="1">
      <c r="A12" s="4" t="s">
        <v>138</v>
      </c>
      <c r="B12" s="5" t="s">
        <v>139</v>
      </c>
      <c r="C12" s="5" t="s">
        <v>138</v>
      </c>
      <c r="D12" s="6" t="s">
        <v>140</v>
      </c>
    </row>
    <row r="13" spans="1:4" ht="18" customHeight="1">
      <c r="A13" s="4" t="s">
        <v>141</v>
      </c>
      <c r="B13" s="5" t="s">
        <v>142</v>
      </c>
      <c r="C13" s="5" t="s">
        <v>141</v>
      </c>
      <c r="D13" s="6" t="s">
        <v>143</v>
      </c>
    </row>
    <row r="14" spans="1:4" ht="18" customHeight="1">
      <c r="A14" s="4" t="s">
        <v>144</v>
      </c>
      <c r="B14" s="5" t="s">
        <v>145</v>
      </c>
      <c r="C14" s="5" t="s">
        <v>144</v>
      </c>
      <c r="D14" s="6" t="s">
        <v>146</v>
      </c>
    </row>
    <row r="15" spans="1:4" ht="17" customHeight="1">
      <c r="A15" s="4"/>
      <c r="B15" s="5"/>
      <c r="C15" s="5"/>
      <c r="D15" s="6"/>
    </row>
    <row r="16" spans="1:4" ht="18" customHeight="1">
      <c r="A16" s="7" t="s">
        <v>147</v>
      </c>
      <c r="B16" s="8" t="s">
        <v>148</v>
      </c>
      <c r="C16" s="8" t="s">
        <v>4</v>
      </c>
      <c r="D16" s="9" t="s">
        <v>149</v>
      </c>
    </row>
    <row r="17" spans="1:4" ht="18" customHeight="1">
      <c r="A17" s="4" t="s">
        <v>150</v>
      </c>
      <c r="B17" s="5" t="s">
        <v>151</v>
      </c>
      <c r="C17" s="5" t="s">
        <v>51</v>
      </c>
      <c r="D17" s="6" t="s">
        <v>49</v>
      </c>
    </row>
    <row r="18" spans="1:4" ht="18" customHeight="1">
      <c r="A18" s="4" t="s">
        <v>152</v>
      </c>
      <c r="B18" s="5" t="s">
        <v>153</v>
      </c>
      <c r="C18" s="5" t="s">
        <v>73</v>
      </c>
      <c r="D18" s="6" t="s">
        <v>72</v>
      </c>
    </row>
    <row r="19" spans="1:4" ht="36" customHeight="1">
      <c r="A19" s="10" t="s">
        <v>116</v>
      </c>
      <c r="B19" s="12" t="s">
        <v>154</v>
      </c>
      <c r="C19" s="12"/>
      <c r="D19" s="13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정령·의뢰서 합본</vt:lpstr>
      <vt:lpstr>일치율 계산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2026-08-04T15:54:38Z</dcterms:created>
  <dcterms:modified xsi:type="dcterms:W3CDTF">2026-08-05T07:45:31Z</dcterms:modified>
</cp:coreProperties>
</file>