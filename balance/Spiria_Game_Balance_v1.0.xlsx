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dawoonkim/Desktop/spiria game/balance/"/>
    </mc:Choice>
  </mc:AlternateContent>
  <xr:revisionPtr revIDLastSave="0" documentId="13_ncr:1_{AEC4CF96-0287-8149-8E71-A87050E08137}" xr6:coauthVersionLast="47" xr6:coauthVersionMax="47" xr10:uidLastSave="{00000000-0000-0000-0000-000000000000}"/>
  <bookViews>
    <workbookView xWindow="0" yWindow="880" windowWidth="34200" windowHeight="21360" activeTab="3" xr2:uid="{00000000-000D-0000-FFFF-FFFF00000000}"/>
  </bookViews>
  <sheets>
    <sheet name="00_사용가이드" sheetId="1" r:id="rId1"/>
    <sheet name="01_Player" sheetId="2" r:id="rId2"/>
    <sheet name="02_Level" sheetId="3" r:id="rId3"/>
    <sheet name="03_Exploration" sheetId="4" r:id="rId4"/>
    <sheet name="04_Quest" sheetId="5" r:id="rId5"/>
    <sheet name="05_Item" sheetId="6" r:id="rId6"/>
    <sheet name="06_Drop" sheetId="7" r:id="rId7"/>
    <sheet name="09_Economy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5" l="1"/>
  <c r="B14" i="3"/>
</calcChain>
</file>

<file path=xl/sharedStrings.xml><?xml version="1.0" encoding="utf-8"?>
<sst xmlns="http://schemas.openxmlformats.org/spreadsheetml/2006/main" count="1828" uniqueCount="547">
  <si>
    <t>09_Economy - 전체 경제/제작 밸런스</t>
  </si>
  <si>
    <t>카테고리</t>
  </si>
  <si>
    <t>키</t>
  </si>
  <si>
    <t>value</t>
  </si>
  <si>
    <t>단위</t>
  </si>
  <si>
    <t>설명</t>
  </si>
  <si>
    <t>올리면</t>
  </si>
  <si>
    <t>내리면</t>
  </si>
  <si>
    <t>코드소스</t>
  </si>
  <si>
    <t>경제</t>
  </si>
  <si>
    <t>total_exp_required</t>
  </si>
  <si>
    <t>exp</t>
  </si>
  <si>
    <t>만렙까지 총 EXP</t>
  </si>
  <si>
    <t>성장기간 증가</t>
  </si>
  <si>
    <t>성장기간 감소</t>
  </si>
  <si>
    <t>src/data/economy.ts</t>
  </si>
  <si>
    <t>main_color</t>
  </si>
  <si>
    <t>#A894FF</t>
  </si>
  <si>
    <t>hex</t>
  </si>
  <si>
    <t>경제 메인 컬러</t>
  </si>
  <si>
    <t>UI 강조 변경</t>
  </si>
  <si>
    <t>UI 강조 완화</t>
  </si>
  <si>
    <t>제작티어</t>
  </si>
  <si>
    <t>tier1_required_per_material</t>
  </si>
  <si>
    <t>count</t>
  </si>
  <si>
    <t>Lv1~19 재료당 요구량</t>
  </si>
  <si>
    <t>초반 난이도↑</t>
  </si>
  <si>
    <t>초반 난이도↓</t>
  </si>
  <si>
    <t>tier2_required_per_material</t>
  </si>
  <si>
    <t>Lv20~49 재료당 요구량</t>
  </si>
  <si>
    <t>중반 난이도↑</t>
  </si>
  <si>
    <t>중반 난이도↓</t>
  </si>
  <si>
    <t>tier3_required_per_material</t>
  </si>
  <si>
    <t>Lv50~79 재료당 요구량</t>
  </si>
  <si>
    <t>후반 난이도↑</t>
  </si>
  <si>
    <t>후반 난이도↓</t>
  </si>
  <si>
    <t>tier4_required_per_material</t>
  </si>
  <si>
    <t>Lv80~99 재료당 요구량</t>
  </si>
  <si>
    <t>제작공통</t>
  </si>
  <si>
    <t>selected_material_kinds</t>
  </si>
  <si>
    <t>제작에 필요한 재료 종류 수</t>
  </si>
  <si>
    <t>난이도↑</t>
  </si>
  <si>
    <t>난이도↓</t>
  </si>
  <si>
    <t>패널티</t>
  </si>
  <si>
    <t>quest_reject_penalty_gold</t>
  </si>
  <si>
    <t>gold</t>
  </si>
  <si>
    <t>의뢰 거절 패널티</t>
  </si>
  <si>
    <t>거절 부담↑</t>
  </si>
  <si>
    <t>거절 부담↓</t>
  </si>
  <si>
    <t>src/components/CraftScreen.tsx</t>
  </si>
  <si>
    <t>제작보상</t>
  </si>
  <si>
    <t>craft_success_exp_min</t>
  </si>
  <si>
    <t>제작 성공 시 최소 경험치</t>
  </si>
  <si>
    <t>성장 가속</t>
  </si>
  <si>
    <t>성장 둔화</t>
  </si>
  <si>
    <t>craft_success_exp_max</t>
  </si>
  <si>
    <t>제작 성공 시 최대 경험치</t>
  </si>
  <si>
    <t>craft_success_gold_min</t>
  </si>
  <si>
    <t>제작 성공 시 최소 골드</t>
  </si>
  <si>
    <t>골드 수급 증가</t>
  </si>
  <si>
    <t>골드 수급 감소</t>
  </si>
  <si>
    <t>craft_success_gold_max</t>
  </si>
  <si>
    <t>제작 성공 시 최대 골드</t>
  </si>
  <si>
    <t>craft_success_first_discovery_gem</t>
  </si>
  <si>
    <t>item</t>
  </si>
  <si>
    <t>첫 발견 성공 시 지급 보석 수</t>
  </si>
  <si>
    <t>첫 발견 보상 강화</t>
  </si>
  <si>
    <t>첫 발견 보상 약화</t>
  </si>
  <si>
    <t>craft_failure_fragment_amount</t>
  </si>
  <si>
    <t>제작 실패 시 랜덤 정령 조각 수량</t>
  </si>
  <si>
    <t>실패 보상 강화</t>
  </si>
  <si>
    <t>실패 보상 약화</t>
  </si>
  <si>
    <t>craft_failure_exp</t>
  </si>
  <si>
    <t>제작 실패 시 경험치</t>
  </si>
  <si>
    <t>craft_failure_gold_min</t>
  </si>
  <si>
    <t>제작 실패 시 최소 골드</t>
  </si>
  <si>
    <t>craft_failure_gold_max</t>
  </si>
  <si>
    <t>제작 실패 시 최대 골드</t>
  </si>
  <si>
    <t>제작힌트</t>
  </si>
  <si>
    <t>craft_hint_gold_lv1</t>
  </si>
  <si>
    <t>힌트 1회 비용</t>
  </si>
  <si>
    <t>힌트 사용 부담 증가</t>
  </si>
  <si>
    <t>힌트 사용 부담 감소</t>
  </si>
  <si>
    <t>craft_hint_gold_lv2</t>
  </si>
  <si>
    <t>힌트 2회 비용</t>
  </si>
  <si>
    <t>craft_hint_gold_lv3</t>
  </si>
  <si>
    <t>힌트 3회 비용</t>
  </si>
  <si>
    <t>레벨업보상</t>
  </si>
  <si>
    <t>levelup_gold_lv1_19</t>
  </si>
  <si>
    <t>Lv1~19 레벨업 1회당 골드</t>
  </si>
  <si>
    <t>초반 골드 수급 증가</t>
  </si>
  <si>
    <t>초반 골드 수급 감소</t>
  </si>
  <si>
    <t>levelup_gold_lv20_49</t>
  </si>
  <si>
    <t>Lv20~49 레벨업 1회당 골드</t>
  </si>
  <si>
    <t>중반 골드 수급 증가</t>
  </si>
  <si>
    <t>중반 골드 수급 감소</t>
  </si>
  <si>
    <t>levelup_gold_lv50_79</t>
  </si>
  <si>
    <t>Lv50~79 레벨업 1회당 골드</t>
  </si>
  <si>
    <t>후반 골드 수급 증가</t>
  </si>
  <si>
    <t>후반 골드 수급 감소</t>
  </si>
  <si>
    <t>levelup_gold_lv80_99</t>
  </si>
  <si>
    <t>Lv80~99 레벨업 1회당 골드</t>
  </si>
  <si>
    <t>최종 구간 골드 수급 증가</t>
  </si>
  <si>
    <t>최종 구간 골드 수급 감소</t>
  </si>
  <si>
    <t>levelup_mana_lv1_19</t>
  </si>
  <si>
    <t>mana</t>
  </si>
  <si>
    <t>Lv1~19 레벨업 1회당 마나</t>
  </si>
  <si>
    <t>초반 마나 수급 증가</t>
  </si>
  <si>
    <t>초반 마나 수급 감소</t>
  </si>
  <si>
    <t>levelup_mana_lv20_49</t>
  </si>
  <si>
    <t>Lv20~49 레벨업 1회당 마나</t>
  </si>
  <si>
    <t>중반 마나 수급 증가</t>
  </si>
  <si>
    <t>중반 마나 수급 감소</t>
  </si>
  <si>
    <t>levelup_mana_lv50_79</t>
  </si>
  <si>
    <t>Lv50~79 레벨업 1회당 마나</t>
  </si>
  <si>
    <t>후반 마나 수급 증가</t>
  </si>
  <si>
    <t>후반 마나 수급 감소</t>
  </si>
  <si>
    <t>levelup_mana_lv80_99</t>
  </si>
  <si>
    <t>Lv80~99 레벨업 1회당 마나</t>
  </si>
  <si>
    <t>최종 구간 마나 수급 증가</t>
  </si>
  <si>
    <t>최종 구간 마나 수급 감소</t>
  </si>
  <si>
    <t>히든스테이지</t>
  </si>
  <si>
    <t>hidden_stage_entry_trace_cost</t>
  </si>
  <si>
    <t>히든 스테이지 입장 시 소모되는 지역 흔적</t>
  </si>
  <si>
    <t>진입 난이도 증가</t>
  </si>
  <si>
    <t>진입 난이도 감소</t>
  </si>
  <si>
    <t>src/data/hiddenStage.ts</t>
  </si>
  <si>
    <t>hidden_stage_first_fragment_amount</t>
  </si>
  <si>
    <t>히든 최초 클리어 정령 조각 수량</t>
  </si>
  <si>
    <t>최초 보상 강화</t>
  </si>
  <si>
    <t>최초 보상 약화</t>
  </si>
  <si>
    <t>hidden_stage_repeat_fragment_amount</t>
  </si>
  <si>
    <t>히든 반복 클리어 정령 조각 수량</t>
  </si>
  <si>
    <t>반복 보상 강화</t>
  </si>
  <si>
    <t>반복 보상 약화</t>
  </si>
  <si>
    <t>hidden_stage_first_exp</t>
  </si>
  <si>
    <t>히든 최초 클리어 EXP</t>
  </si>
  <si>
    <t>최초 성장 가속</t>
  </si>
  <si>
    <t>최초 성장 둔화</t>
  </si>
  <si>
    <t>hidden_stage_repeat_exp</t>
  </si>
  <si>
    <t>히든 반복 클리어 EXP</t>
  </si>
  <si>
    <t>반복 성장 가속</t>
  </si>
  <si>
    <t>반복 성장 둔화</t>
  </si>
  <si>
    <t>hidden_stage_first_gold</t>
  </si>
  <si>
    <t>히든 최초 클리어 Gold</t>
  </si>
  <si>
    <t>최초 골드 수급 증가</t>
  </si>
  <si>
    <t>최초 골드 수급 감소</t>
  </si>
  <si>
    <t>hidden_stage_repeat_gold</t>
  </si>
  <si>
    <t>히든 반복 클리어 Gold</t>
  </si>
  <si>
    <t>반복 골드 수급 증가</t>
  </si>
  <si>
    <t>반복 골드 수급 감소</t>
  </si>
  <si>
    <t>hidden_stage_first_material_total_min</t>
  </si>
  <si>
    <t>히든 최초 클리어 무작위 재료 최소 수량</t>
  </si>
  <si>
    <t>최초 재료 보상 강화</t>
  </si>
  <si>
    <t>최초 재료 보상 약화</t>
  </si>
  <si>
    <t>hidden_stage_first_material_total_max</t>
  </si>
  <si>
    <t>히든 최초 클리어 무작위 재료 최대 수량</t>
  </si>
  <si>
    <t>hidden_stage_repeat_material_total_min</t>
  </si>
  <si>
    <t>히든 반복 클리어 무작위 재료 최소 수량</t>
  </si>
  <si>
    <t>반복 재료 보상 강화</t>
  </si>
  <si>
    <t>반복 재료 보상 약화</t>
  </si>
  <si>
    <t>hidden_stage_repeat_material_total_max</t>
  </si>
  <si>
    <t>히든 반복 클리어 무작위 재료 최대 수량</t>
  </si>
  <si>
    <t>hidden_stage_mana_bonus_amount</t>
  </si>
  <si>
    <t>히든 클리어 추가 Mana 수량</t>
  </si>
  <si>
    <t>추가 마나 보상 강화</t>
  </si>
  <si>
    <t>추가 마나 보상 약화</t>
  </si>
  <si>
    <t>hidden_stage_mana_bonus_chance</t>
  </si>
  <si>
    <t>ratio</t>
  </si>
  <si>
    <t>히든 클리어 추가 Mana 확률</t>
  </si>
  <si>
    <t>추가 마나 획득 확률 증가</t>
  </si>
  <si>
    <t>추가 마나 획득 확률 감소</t>
  </si>
  <si>
    <t>Spiria 밸런스 운영 가이드</t>
  </si>
  <si>
    <t>분류</t>
  </si>
  <si>
    <t>탭</t>
  </si>
  <si>
    <t>여기서 조절하는 것</t>
  </si>
  <si>
    <t>대표 키</t>
  </si>
  <si>
    <t>연동 파일</t>
  </si>
  <si>
    <t>비고</t>
  </si>
  <si>
    <t>운영</t>
  </si>
  <si>
    <t>01_Player</t>
  </si>
  <si>
    <t>플레이어 기본값/마력</t>
  </si>
  <si>
    <t>max_level, initial_mana, max_mana</t>
  </si>
  <si>
    <t>src/data/constants.ts</t>
  </si>
  <si>
    <t>플레이어 성장과 마나 회복의 기준값</t>
  </si>
  <si>
    <t>현재 값은 예시 기준</t>
  </si>
  <si>
    <t>02_Level</t>
  </si>
  <si>
    <t>레벨 EXP/컬러</t>
  </si>
  <si>
    <t>exp_to_next, LEVEL_COLORS</t>
  </si>
  <si>
    <t>src/data/levels.ts</t>
  </si>
  <si>
    <t>레벨업 속도와 레벨 색상</t>
  </si>
  <si>
    <t>전 구간 조절 가능</t>
  </si>
  <si>
    <t>03_Exploration</t>
  </si>
  <si>
    <t>탐사 지역 비용/보상</t>
  </si>
  <si>
    <t>mana_cost, exploreSteps, reward draft</t>
  </si>
  <si>
    <t>src/data/regions.ts, src/data/drops.ts</t>
  </si>
  <si>
    <t>탐사 1회 진행 구조와 보상</t>
  </si>
  <si>
    <t>Map1 우선 적용</t>
  </si>
  <si>
    <t>04_Quest</t>
  </si>
  <si>
    <t>의뢰 보상/생성</t>
  </si>
  <si>
    <t>QUEST_REWARDS, QUEST_TIER_WEIGHTS</t>
  </si>
  <si>
    <t>src/data/quests.ts</t>
  </si>
  <si>
    <t>의뢰 등급별 보상과 생성비율</t>
  </si>
  <si>
    <t>거절 패널티 포함</t>
  </si>
  <si>
    <t>05_Item</t>
  </si>
  <si>
    <t>재료 기본 정보</t>
  </si>
  <si>
    <t>id, name, category</t>
  </si>
  <si>
    <t>src/data/items.ts</t>
  </si>
  <si>
    <t>재료/기타 아이템 목록</t>
  </si>
  <si>
    <t>가치값은 추후 추가 가능</t>
  </si>
  <si>
    <t>06_Drop</t>
  </si>
  <si>
    <t>지역별 드랍 확률</t>
  </si>
  <si>
    <t>dropTable weight, count</t>
  </si>
  <si>
    <t>src/data/regions.ts</t>
  </si>
  <si>
    <t>Map별 드랍 비율</t>
  </si>
  <si>
    <t>Map2~5는 예시 탭만</t>
  </si>
  <si>
    <t>07_Spirit</t>
  </si>
  <si>
    <t>정령 정보(미정)</t>
  </si>
  <si>
    <t>희귀도, 해금 조건, 조각</t>
  </si>
  <si>
    <t>src/data/spirits.ts</t>
  </si>
  <si>
    <t>정령 확장용 템플릿</t>
  </si>
  <si>
    <t>미정은 TBD로 표기</t>
  </si>
  <si>
    <t>08_Recipe</t>
  </si>
  <si>
    <t>레시피(미정)</t>
  </si>
  <si>
    <t>재료 조합, 결과 정령</t>
  </si>
  <si>
    <t>src/data/recipes.ts</t>
  </si>
  <si>
    <t>정령 제작 룰 확장용 템플릿</t>
  </si>
  <si>
    <t>09_Economy</t>
  </si>
  <si>
    <t>전체 경제/제작비</t>
  </si>
  <si>
    <t>CRAFTING_COST_TIERS, TOTAL_EXP_TO_MAX</t>
  </si>
  <si>
    <t>제작비/총 성장량</t>
  </si>
  <si>
    <t>게임 전체 균형 축</t>
  </si>
  <si>
    <t>01_Player - 플레이어 레벨·마력 기본값</t>
  </si>
  <si>
    <t>어디에 쓰나</t>
  </si>
  <si>
    <t>값↑</t>
  </si>
  <si>
    <t>값↓</t>
  </si>
  <si>
    <t>플레이어</t>
  </si>
  <si>
    <t>max_level</t>
  </si>
  <si>
    <t>level</t>
  </si>
  <si>
    <t>플레이어 최대 레벨</t>
  </si>
  <si>
    <t>성장 길어짐</t>
  </si>
  <si>
    <t>성장 짧아짐</t>
  </si>
  <si>
    <t>total_exp_to_max</t>
  </si>
  <si>
    <t>최종 성장 증가</t>
  </si>
  <si>
    <t>최종 성장 감소</t>
  </si>
  <si>
    <t>마력</t>
  </si>
  <si>
    <t>initial_mana</t>
  </si>
  <si>
    <t>point</t>
  </si>
  <si>
    <t>초기 마나</t>
  </si>
  <si>
    <t>초반 연속 탐험 증가</t>
  </si>
  <si>
    <t>초반 연속 탐험 감소</t>
  </si>
  <si>
    <t>max_mana</t>
  </si>
  <si>
    <t>최대 마나</t>
  </si>
  <si>
    <t>연속 탐험 수 증가</t>
  </si>
  <si>
    <t>연속 탐험 수 감소</t>
  </si>
  <si>
    <t>mana_per_explore</t>
  </si>
  <si>
    <t>탐험 1회 소모 마나</t>
  </si>
  <si>
    <t>탐험 비용 증가</t>
  </si>
  <si>
    <t>탐험 비용 감소</t>
  </si>
  <si>
    <t>mana_regen_minutes</t>
  </si>
  <si>
    <t>minute</t>
  </si>
  <si>
    <t>마나 회복 간격</t>
  </si>
  <si>
    <t>회복 느려짐</t>
  </si>
  <si>
    <t>회복 빨라짐</t>
  </si>
  <si>
    <t>02_Level - 레벨별 필요/누적 경험치와 컬러</t>
  </si>
  <si>
    <t>구간</t>
  </si>
  <si>
    <t>from</t>
  </si>
  <si>
    <t>to</t>
  </si>
  <si>
    <t>exp_to_next(value)</t>
  </si>
  <si>
    <t>누적EXP 시작</t>
  </si>
  <si>
    <t>색상</t>
  </si>
  <si>
    <t>값↑/값↓</t>
  </si>
  <si>
    <t>Lv1-9</t>
  </si>
  <si>
    <t>#B8BEC9</t>
  </si>
  <si>
    <t>레벨업 속도/색상</t>
  </si>
  <si>
    <t>EXP↑ 난이도↑ / EXP↓ 난이도↓</t>
  </si>
  <si>
    <t>Lv10-19</t>
  </si>
  <si>
    <t>#79D8C6</t>
  </si>
  <si>
    <t>Lv20-29</t>
  </si>
  <si>
    <t>#6EBEFF</t>
  </si>
  <si>
    <t>Lv30-39</t>
  </si>
  <si>
    <t>#8ED46B</t>
  </si>
  <si>
    <t>Lv40-49</t>
  </si>
  <si>
    <t>#E5C46B</t>
  </si>
  <si>
    <t>Lv50-59</t>
  </si>
  <si>
    <t>Lv60-69</t>
  </si>
  <si>
    <t>#866BFF</t>
  </si>
  <si>
    <t>Lv70-79</t>
  </si>
  <si>
    <t>#6A46E8</t>
  </si>
  <si>
    <t>Lv80-89</t>
  </si>
  <si>
    <t>#4E5EEA</t>
  </si>
  <si>
    <t>Lv90-98</t>
  </si>
  <si>
    <t>#F6E7A8</t>
  </si>
  <si>
    <t>Lv99-99</t>
  </si>
  <si>
    <t>check_total_exp</t>
  </si>
  <si>
    <t>기준 43450</t>
  </si>
  <si>
    <t>03_Exploration - 탐사 지역별 비용·보상</t>
  </si>
  <si>
    <t>공통</t>
  </si>
  <si>
    <t>explore_steps</t>
  </si>
  <si>
    <t>탐사 1회 행동 횟수</t>
  </si>
  <si>
    <t>한 판 길어짐</t>
  </si>
  <si>
    <t>한 판 짧아짐</t>
  </si>
  <si>
    <t>result_reveal_delay_ms</t>
  </si>
  <si>
    <t>ms</t>
  </si>
  <si>
    <t>결과창 노출 지연</t>
  </si>
  <si>
    <t>느려짐</t>
  </si>
  <si>
    <t>빨라짐</t>
  </si>
  <si>
    <t>src/data/drops.ts</t>
  </si>
  <si>
    <t>mana_cost</t>
  </si>
  <si>
    <t>탐사 1회 입장 소모 마나</t>
  </si>
  <si>
    <t>비용 증가</t>
  </si>
  <si>
    <t>비용 감소</t>
  </si>
  <si>
    <t>hidden_stage_required_amount</t>
  </si>
  <si>
    <t>히든 스테이지 입장 흔적 수</t>
  </si>
  <si>
    <t>진입 어렵게</t>
  </si>
  <si>
    <t>진입 쉽게</t>
  </si>
  <si>
    <t>event_material</t>
  </si>
  <si>
    <t>재료 이벤트 확률</t>
  </si>
  <si>
    <t>재료 많아짐</t>
  </si>
  <si>
    <t>재료 적어짐</t>
  </si>
  <si>
    <t>event_spirit</t>
  </si>
  <si>
    <t>정령 이벤트 확률</t>
  </si>
  <si>
    <t>정령 많아짐</t>
  </si>
  <si>
    <t>정령 적어짐</t>
  </si>
  <si>
    <t>event_regional</t>
  </si>
  <si>
    <t>지역 이벤트 확률</t>
  </si>
  <si>
    <t>지역 이벤트 많아짐</t>
  </si>
  <si>
    <t>지역 이벤트 적어짐</t>
  </si>
  <si>
    <t>event_treasure</t>
  </si>
  <si>
    <t>보물 이벤트 확률</t>
  </si>
  <si>
    <t>보물 많아짐</t>
  </si>
  <si>
    <t>보물 적어짐</t>
  </si>
  <si>
    <t>event_trace</t>
  </si>
  <si>
    <t>흔적 이벤트 확률</t>
  </si>
  <si>
    <t>흔적 많아짐</t>
  </si>
  <si>
    <t>흔적 적어짐</t>
  </si>
  <si>
    <t>event_none</t>
  </si>
  <si>
    <t>아무것도 없음 확률</t>
  </si>
  <si>
    <t>빈 이벤트 많아짐</t>
  </si>
  <si>
    <t>빈 이벤트 적어짐</t>
  </si>
  <si>
    <t>mana_single_drop_chance_per_expedition</t>
  </si>
  <si>
    <t>탐험 1회당 마나 단일 드랍 확률</t>
  </si>
  <si>
    <t>마나 획득 빈도 증가</t>
  </si>
  <si>
    <t>마나 획득 빈도 감소</t>
  </si>
  <si>
    <t>Map1</t>
  </si>
  <si>
    <t>region_id</t>
  </si>
  <si>
    <t>starlight_forest</t>
  </si>
  <si>
    <t>-</t>
  </si>
  <si>
    <t>현재 적용 지역 ID</t>
  </si>
  <si>
    <t>region_name</t>
  </si>
  <si>
    <t>별빛 숲속</t>
  </si>
  <si>
    <t>현재 적용 지역명</t>
  </si>
  <si>
    <t>unlock_level</t>
  </si>
  <si>
    <t>입장 레벨</t>
  </si>
  <si>
    <t>해금 지연</t>
  </si>
  <si>
    <t>해금 빨라짐</t>
  </si>
  <si>
    <t>recommended_level</t>
  </si>
  <si>
    <t>권장 레벨</t>
  </si>
  <si>
    <t>권장치 상승</t>
  </si>
  <si>
    <t>권장치 하락</t>
  </si>
  <si>
    <t>weight_material</t>
  </si>
  <si>
    <t>weight</t>
  </si>
  <si>
    <t>탐색률 재료 기여</t>
  </si>
  <si>
    <t>탐색률 해당 항목 비중↑</t>
  </si>
  <si>
    <t>비중↓</t>
  </si>
  <si>
    <t>weight_spirit</t>
  </si>
  <si>
    <t>탐색률 정령 기여</t>
  </si>
  <si>
    <t>weight_regional</t>
  </si>
  <si>
    <t>탐색률 지역 기여</t>
  </si>
  <si>
    <t>weight_treasure</t>
  </si>
  <si>
    <t>탐색률 보물 기여</t>
  </si>
  <si>
    <t>total_material_discovery</t>
  </si>
  <si>
    <t>재료 발견 총량</t>
  </si>
  <si>
    <t>완료 난이도↑</t>
  </si>
  <si>
    <t>완료 난이도↓</t>
  </si>
  <si>
    <t>total_spirit_discovery</t>
  </si>
  <si>
    <t>정령 발견 총량</t>
  </si>
  <si>
    <t>total_regional_discovery</t>
  </si>
  <si>
    <t>지역 발견 총량</t>
  </si>
  <si>
    <t>total_treasure_discovery</t>
  </si>
  <si>
    <t>보물 발견 총량</t>
  </si>
  <si>
    <t>Map2</t>
  </si>
  <si>
    <t>wind_canyon</t>
  </si>
  <si>
    <t>바람의 협곡</t>
  </si>
  <si>
    <t>탐색 행동 횟수</t>
  </si>
  <si>
    <t>탐험 길어짐</t>
  </si>
  <si>
    <t>탐험 짧아짐</t>
  </si>
  <si>
    <t>trace_item_id</t>
  </si>
  <si>
    <t>wind_trace</t>
  </si>
  <si>
    <t>지역 흔적 아이템 ID</t>
  </si>
  <si>
    <t>trace_name</t>
  </si>
  <si>
    <t>바람의 메아리</t>
  </si>
  <si>
    <t>지역 흔적 아이템명</t>
  </si>
  <si>
    <t>Hidden Stage 입장 흔적 수</t>
  </si>
  <si>
    <t>입장 난이도↑</t>
  </si>
  <si>
    <t>입장 난이도↓</t>
  </si>
  <si>
    <t>next_region_id</t>
  </si>
  <si>
    <t>frozen_lake</t>
  </si>
  <si>
    <t>다음 지역 ID</t>
  </si>
  <si>
    <t>next_region_unlock_level</t>
  </si>
  <si>
    <t>다음 지역 해금 레벨</t>
  </si>
  <si>
    <t>비중↑</t>
  </si>
  <si>
    <t>Map3</t>
  </si>
  <si>
    <t>얼어붙은 설원</t>
  </si>
  <si>
    <t>lake_trace</t>
  </si>
  <si>
    <t>설원의 기억</t>
  </si>
  <si>
    <t>flame_ruins</t>
  </si>
  <si>
    <t>Map4</t>
  </si>
  <si>
    <t>화염의 산맥</t>
  </si>
  <si>
    <t>ruins_trace</t>
  </si>
  <si>
    <t>화염의 잔재</t>
  </si>
  <si>
    <t>dark_swamp</t>
  </si>
  <si>
    <t>Map5</t>
  </si>
  <si>
    <t>어둠의 습지</t>
  </si>
  <si>
    <t>final_trace</t>
  </si>
  <si>
    <t>어둠의 흔적</t>
  </si>
  <si>
    <t>04_Quest - 의뢰 등급별 보상과 생성 규칙</t>
  </si>
  <si>
    <t>보상</t>
  </si>
  <si>
    <t>Easy_exp</t>
  </si>
  <si>
    <t>Easy 의뢰 EXP</t>
  </si>
  <si>
    <t>보상 증가</t>
  </si>
  <si>
    <t>보상 감소</t>
  </si>
  <si>
    <t>Easy_gold</t>
  </si>
  <si>
    <t>Easy 의뢰 Gold</t>
  </si>
  <si>
    <t>Normal_exp</t>
  </si>
  <si>
    <t>Normal 의뢰 EXP</t>
  </si>
  <si>
    <t>Normal_gold</t>
  </si>
  <si>
    <t>Normal 의뢰 Gold</t>
  </si>
  <si>
    <t>Hard_exp</t>
  </si>
  <si>
    <t>Hard 의뢰 EXP</t>
  </si>
  <si>
    <t>Hard_gold</t>
  </si>
  <si>
    <t>Hard 의뢰 Gold</t>
  </si>
  <si>
    <t>Special_exp</t>
  </si>
  <si>
    <t>Special 의뢰 EXP</t>
  </si>
  <si>
    <t>Special_gold</t>
  </si>
  <si>
    <t>Special 의뢰 Gold</t>
  </si>
  <si>
    <t>생성</t>
  </si>
  <si>
    <t>weight_Easy</t>
  </si>
  <si>
    <t>Easy 생성 비중</t>
  </si>
  <si>
    <t>빈도 증가</t>
  </si>
  <si>
    <t>빈도 감소</t>
  </si>
  <si>
    <t>weight_Normal</t>
  </si>
  <si>
    <t>Normal 생성 비중</t>
  </si>
  <si>
    <t>weight_Hard</t>
  </si>
  <si>
    <t>Hard 생성 비중</t>
  </si>
  <si>
    <t>weight_Special</t>
  </si>
  <si>
    <t>Special 생성 비중</t>
  </si>
  <si>
    <t>보드</t>
  </si>
  <si>
    <t>max_slots</t>
  </si>
  <si>
    <t>slot</t>
  </si>
  <si>
    <t>동시 의뢰 슬롯 수</t>
  </si>
  <si>
    <t>동시 진행 증가</t>
  </si>
  <si>
    <t>동시 진행 감소</t>
  </si>
  <si>
    <t>respawn_minutes</t>
  </si>
  <si>
    <t>의뢰 재생성 주기</t>
  </si>
  <si>
    <t>재생성 느림</t>
  </si>
  <si>
    <t>재생성 빠름</t>
  </si>
  <si>
    <t>reject_penalty_gold</t>
  </si>
  <si>
    <t>거절 부담 증가</t>
  </si>
  <si>
    <t>거절 부담 감소</t>
  </si>
  <si>
    <t>check_weight_sum</t>
  </si>
  <si>
    <t>100 권장</t>
  </si>
  <si>
    <t>05_Item - 재료/기타 아이템 기본 정보와 희귀도</t>
  </si>
  <si>
    <t>item_id</t>
  </si>
  <si>
    <t>이름</t>
  </si>
  <si>
    <t>재료분류</t>
  </si>
  <si>
    <t>희귀도(value)</t>
  </si>
  <si>
    <t>기본가치(value)</t>
  </si>
  <si>
    <t>조절 기준</t>
  </si>
  <si>
    <t>메모</t>
  </si>
  <si>
    <t>flower</t>
  </si>
  <si>
    <t>꽃</t>
  </si>
  <si>
    <t>재료</t>
  </si>
  <si>
    <t>nature</t>
  </si>
  <si>
    <t>common</t>
  </si>
  <si>
    <t>Map1 드랍</t>
  </si>
  <si>
    <t>기본 재료</t>
  </si>
  <si>
    <t>leaf</t>
  </si>
  <si>
    <t>잎</t>
  </si>
  <si>
    <t>soil</t>
  </si>
  <si>
    <t>흙</t>
  </si>
  <si>
    <t>water</t>
  </si>
  <si>
    <t>물</t>
  </si>
  <si>
    <t>element</t>
  </si>
  <si>
    <t>fire</t>
  </si>
  <si>
    <t>불</t>
  </si>
  <si>
    <t>미사용 예시</t>
  </si>
  <si>
    <t>추후 지역용</t>
  </si>
  <si>
    <t>wind</t>
  </si>
  <si>
    <t>바람</t>
  </si>
  <si>
    <t>star</t>
  </si>
  <si>
    <t>별</t>
  </si>
  <si>
    <t>sky</t>
  </si>
  <si>
    <t>moon</t>
  </si>
  <si>
    <t>달</t>
  </si>
  <si>
    <t>light</t>
  </si>
  <si>
    <t>태양</t>
  </si>
  <si>
    <t>magic</t>
  </si>
  <si>
    <t>마법</t>
  </si>
  <si>
    <t>mystic</t>
  </si>
  <si>
    <t>ether</t>
  </si>
  <si>
    <t>에테르</t>
  </si>
  <si>
    <t>gem</t>
  </si>
  <si>
    <t>보석</t>
  </si>
  <si>
    <t>fragment_spirit_soyo</t>
  </si>
  <si>
    <t>소요의 조각</t>
  </si>
  <si>
    <t>기타</t>
  </si>
  <si>
    <t>legendary</t>
  </si>
  <si>
    <t>정령 조각</t>
  </si>
  <si>
    <t>정령 해금용</t>
  </si>
  <si>
    <t>fragment_spirit_rua</t>
  </si>
  <si>
    <t>루아의 조각</t>
  </si>
  <si>
    <t>fragment_spirit_pleo</t>
  </si>
  <si>
    <t>플레오의 조각</t>
  </si>
  <si>
    <t>fragment_spirit_stellio</t>
  </si>
  <si>
    <t>스텔리오의 조각</t>
  </si>
  <si>
    <t>fragment_spirit_porina</t>
  </si>
  <si>
    <t>포리나의 조각</t>
  </si>
  <si>
    <t>fragment_spirit_nubi</t>
  </si>
  <si>
    <t>누비의 조각</t>
  </si>
  <si>
    <t>forest_trace</t>
  </si>
  <si>
    <t>숲의 잔향</t>
  </si>
  <si>
    <t>rare</t>
  </si>
  <si>
    <t>지역 흔적</t>
  </si>
  <si>
    <t>히든 스테이지 입장 재료</t>
  </si>
  <si>
    <t>epic</t>
  </si>
  <si>
    <t>06_Drop - 지역별 재료 드랍 확률</t>
  </si>
  <si>
    <t>region</t>
  </si>
  <si>
    <t>weight(value)</t>
  </si>
  <si>
    <t>min_count(value)</t>
  </si>
  <si>
    <t>max_count(value)</t>
  </si>
  <si>
    <t>조절 포인트</t>
  </si>
  <si>
    <t>꽃 드랍 가중치</t>
  </si>
  <si>
    <t>weight / count</t>
  </si>
  <si>
    <t>잎 드랍 가중치</t>
  </si>
  <si>
    <t>흙 드랍 가중치</t>
  </si>
  <si>
    <t>물 드랍 가중치</t>
  </si>
  <si>
    <t>별 드랍 가중치</t>
  </si>
  <si>
    <t>마법 드랍 가중치</t>
  </si>
  <si>
    <t>보석 드랍 가중치</t>
  </si>
  <si>
    <t>공통 보조 재료</t>
  </si>
  <si>
    <t>바람 드랍 가중치</t>
  </si>
  <si>
    <t>젬 드랍 가중치</t>
  </si>
  <si>
    <t>에테르 드랍 가중치</t>
  </si>
  <si>
    <t>달 드랍 가중치</t>
  </si>
  <si>
    <t>불 드랍 가중치</t>
  </si>
  <si>
    <t>태양 드랍 가중치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</si>
</sst>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2"/>
      <charset val="129"/>
    </font>
    <font>
      <b/>
      <sz val="11"/>
      <name val="맑은 고딕"/>
      <family val="2"/>
      <charset val="129"/>
    </font>
    <font>
      <b/>
      <sz val="11"/>
      <color rgb="FFB91C1C"/>
      <name val="맑은 고딕"/>
      <family val="2"/>
      <charset val="129"/>
    </font>
    <font>
      <b/>
      <sz val="14"/>
      <color rgb="FFFFFFFF"/>
      <name val="맑은 고딕"/>
      <family val="2"/>
      <charset val="129"/>
    </font>
    <font>
      <sz val="11"/>
      <color rgb="FFB91C1C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334155"/>
      </patternFill>
    </fill>
    <fill>
      <patternFill patternType="solid">
        <fgColor rgb="FF0F766E"/>
      </patternFill>
    </fill>
    <fill>
      <patternFill patternType="solid">
        <fgColor rgb="FF115E59"/>
      </patternFill>
    </fill>
    <fill>
      <patternFill patternType="solid">
        <fgColor rgb="FF7C2D12"/>
      </patternFill>
    </fill>
    <fill>
      <patternFill patternType="solid">
        <fgColor rgb="FF9A3412"/>
      </patternFill>
    </fill>
    <fill>
      <patternFill patternType="solid">
        <fgColor rgb="FF1D4ED8"/>
      </patternFill>
    </fill>
    <fill>
      <patternFill patternType="solid">
        <fgColor rgb="FF1E40AF"/>
      </patternFill>
    </fill>
    <fill>
      <patternFill patternType="solid">
        <fgColor rgb="FFB8BEC9"/>
      </patternFill>
    </fill>
    <fill>
      <patternFill patternType="solid">
        <fgColor rgb="FF79D8C6"/>
      </patternFill>
    </fill>
    <fill>
      <patternFill patternType="solid">
        <fgColor rgb="FF6EBEFF"/>
      </patternFill>
    </fill>
    <fill>
      <patternFill patternType="solid">
        <fgColor rgb="FF8ED46B"/>
      </patternFill>
    </fill>
    <fill>
      <patternFill patternType="solid">
        <fgColor rgb="FFE5C46B"/>
      </patternFill>
    </fill>
    <fill>
      <patternFill patternType="solid">
        <fgColor rgb="FFA894FF"/>
      </patternFill>
    </fill>
    <fill>
      <patternFill patternType="solid">
        <fgColor rgb="FF866BFF"/>
      </patternFill>
    </fill>
    <fill>
      <patternFill patternType="solid">
        <fgColor rgb="FF6A46E8"/>
      </patternFill>
    </fill>
    <fill>
      <patternFill patternType="solid">
        <fgColor rgb="FF4E5EEA"/>
      </patternFill>
    </fill>
    <fill>
      <patternFill patternType="solid">
        <fgColor rgb="FFF6E7A8"/>
      </patternFill>
    </fill>
    <fill>
      <patternFill patternType="solid">
        <fgColor rgb="FF6D28D9"/>
      </patternFill>
    </fill>
    <fill>
      <patternFill patternType="solid">
        <fgColor rgb="FF7C3AED"/>
      </patternFill>
    </fill>
    <fill>
      <patternFill patternType="solid">
        <fgColor rgb="FF0E7490"/>
      </patternFill>
    </fill>
    <fill>
      <patternFill patternType="solid">
        <fgColor rgb="FF155E75"/>
      </patternFill>
    </fill>
    <fill>
      <patternFill patternType="solid">
        <fgColor rgb="FF9F1239"/>
      </patternFill>
    </fill>
    <fill>
      <patternFill patternType="solid">
        <fgColor rgb="FFBE123C"/>
      </patternFill>
    </fill>
    <fill>
      <patternFill patternType="solid">
        <fgColor rgb="FF92400E"/>
      </patternFill>
    </fill>
    <fill>
      <patternFill patternType="solid">
        <fgColor rgb="FFB45309"/>
      </patternFill>
    </fill>
    <fill>
      <patternFill patternType="solid">
        <fgColor rgb="FF0F172A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2" fillId="17" borderId="1" xfId="0" applyFont="1" applyFill="1" applyBorder="1" applyAlignment="1">
      <alignment horizontal="center"/>
    </xf>
    <xf numFmtId="0" fontId="2" fillId="18" borderId="1" xfId="0" applyFont="1" applyFill="1" applyBorder="1" applyAlignment="1">
      <alignment horizontal="center"/>
    </xf>
    <xf numFmtId="0" fontId="3" fillId="0" borderId="0" xfId="0" applyFont="1"/>
    <xf numFmtId="0" fontId="5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righ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20" borderId="1" xfId="0" applyFont="1" applyFill="1" applyBorder="1" applyAlignment="1">
      <alignment horizontal="center" vertical="center" wrapText="1"/>
    </xf>
    <xf numFmtId="0" fontId="1" fillId="22" borderId="1" xfId="0" applyFont="1" applyFill="1" applyBorder="1" applyAlignment="1">
      <alignment horizontal="center" vertical="center" wrapText="1"/>
    </xf>
    <xf numFmtId="0" fontId="1" fillId="24" borderId="1" xfId="0" applyFont="1" applyFill="1" applyBorder="1" applyAlignment="1">
      <alignment horizontal="center" vertical="center" wrapText="1"/>
    </xf>
    <xf numFmtId="0" fontId="1" fillId="26" borderId="1" xfId="0" applyFont="1" applyFill="1" applyBorder="1" applyAlignment="1">
      <alignment horizontal="center" vertical="center" wrapText="1"/>
    </xf>
    <xf numFmtId="0" fontId="4" fillId="25" borderId="0" xfId="0" applyFont="1" applyFill="1" applyAlignment="1">
      <alignment horizontal="center" vertical="center"/>
    </xf>
    <xf numFmtId="0" fontId="0" fillId="0" borderId="0" xfId="0"/>
    <xf numFmtId="0" fontId="4" fillId="27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4" fillId="21" borderId="0" xfId="0" applyFont="1" applyFill="1" applyAlignment="1">
      <alignment horizontal="center" vertical="center"/>
    </xf>
    <xf numFmtId="0" fontId="4" fillId="2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workbookViewId="0">
      <pane ySplit="2" topLeftCell="A3" activePane="bottomLeft" state="frozen"/>
      <selection pane="bottomLeft" sqref="A1:H1"/>
    </sheetView>
  </sheetViews>
  <sheetFormatPr baseColWidth="10" defaultColWidth="8.83203125" defaultRowHeight="17"/>
  <cols>
    <col min="1" max="2" width="14" customWidth="1"/>
    <col min="3" max="3" width="24" customWidth="1"/>
    <col min="4" max="4" width="22" customWidth="1"/>
    <col min="5" max="6" width="28" customWidth="1"/>
    <col min="7" max="7" width="20" customWidth="1"/>
    <col min="8" max="8" width="10" customWidth="1"/>
  </cols>
  <sheetData>
    <row r="1" spans="1:8" ht="20" customHeight="1">
      <c r="A1" s="25" t="s">
        <v>172</v>
      </c>
      <c r="B1" s="24"/>
      <c r="C1" s="24"/>
      <c r="D1" s="24"/>
      <c r="E1" s="24"/>
      <c r="F1" s="24"/>
      <c r="G1" s="24"/>
      <c r="H1" s="24"/>
    </row>
    <row r="2" spans="1:8" ht="18" customHeight="1">
      <c r="A2" s="14" t="s">
        <v>173</v>
      </c>
      <c r="B2" s="14" t="s">
        <v>174</v>
      </c>
      <c r="C2" s="14" t="s">
        <v>175</v>
      </c>
      <c r="D2" s="14" t="s">
        <v>176</v>
      </c>
      <c r="E2" s="14" t="s">
        <v>177</v>
      </c>
      <c r="F2" s="14" t="s">
        <v>5</v>
      </c>
      <c r="G2" s="14" t="s">
        <v>178</v>
      </c>
      <c r="H2" s="14"/>
    </row>
    <row r="3" spans="1:8" ht="36" customHeight="1">
      <c r="A3" s="1" t="s">
        <v>179</v>
      </c>
      <c r="B3" s="1" t="s">
        <v>180</v>
      </c>
      <c r="C3" s="1" t="s">
        <v>181</v>
      </c>
      <c r="D3" s="1" t="s">
        <v>182</v>
      </c>
      <c r="E3" s="1" t="s">
        <v>183</v>
      </c>
      <c r="F3" s="1" t="s">
        <v>184</v>
      </c>
      <c r="G3" s="1" t="s">
        <v>185</v>
      </c>
      <c r="H3" s="1"/>
    </row>
    <row r="4" spans="1:8" ht="36" customHeight="1">
      <c r="A4" s="1" t="s">
        <v>179</v>
      </c>
      <c r="B4" s="1" t="s">
        <v>186</v>
      </c>
      <c r="C4" s="1" t="s">
        <v>187</v>
      </c>
      <c r="D4" s="1" t="s">
        <v>188</v>
      </c>
      <c r="E4" s="1" t="s">
        <v>189</v>
      </c>
      <c r="F4" s="1" t="s">
        <v>190</v>
      </c>
      <c r="G4" s="1" t="s">
        <v>191</v>
      </c>
      <c r="H4" s="1"/>
    </row>
    <row r="5" spans="1:8" ht="54" customHeight="1">
      <c r="A5" s="1" t="s">
        <v>179</v>
      </c>
      <c r="B5" s="1" t="s">
        <v>192</v>
      </c>
      <c r="C5" s="1" t="s">
        <v>193</v>
      </c>
      <c r="D5" s="1" t="s">
        <v>194</v>
      </c>
      <c r="E5" s="1" t="s">
        <v>195</v>
      </c>
      <c r="F5" s="1" t="s">
        <v>196</v>
      </c>
      <c r="G5" s="1" t="s">
        <v>197</v>
      </c>
      <c r="H5" s="1"/>
    </row>
    <row r="6" spans="1:8" ht="36" customHeight="1">
      <c r="A6" s="1" t="s">
        <v>179</v>
      </c>
      <c r="B6" s="1" t="s">
        <v>198</v>
      </c>
      <c r="C6" s="1" t="s">
        <v>199</v>
      </c>
      <c r="D6" s="1" t="s">
        <v>200</v>
      </c>
      <c r="E6" s="1" t="s">
        <v>201</v>
      </c>
      <c r="F6" s="1" t="s">
        <v>202</v>
      </c>
      <c r="G6" s="1" t="s">
        <v>203</v>
      </c>
      <c r="H6" s="1"/>
    </row>
    <row r="7" spans="1:8" ht="36" customHeight="1">
      <c r="A7" s="1" t="s">
        <v>179</v>
      </c>
      <c r="B7" s="1" t="s">
        <v>204</v>
      </c>
      <c r="C7" s="1" t="s">
        <v>205</v>
      </c>
      <c r="D7" s="1" t="s">
        <v>206</v>
      </c>
      <c r="E7" s="1" t="s">
        <v>207</v>
      </c>
      <c r="F7" s="1" t="s">
        <v>208</v>
      </c>
      <c r="G7" s="1" t="s">
        <v>209</v>
      </c>
      <c r="H7" s="1"/>
    </row>
    <row r="8" spans="1:8" ht="18" customHeight="1">
      <c r="A8" s="1" t="s">
        <v>179</v>
      </c>
      <c r="B8" s="1" t="s">
        <v>210</v>
      </c>
      <c r="C8" s="1" t="s">
        <v>211</v>
      </c>
      <c r="D8" s="1" t="s">
        <v>212</v>
      </c>
      <c r="E8" s="1" t="s">
        <v>213</v>
      </c>
      <c r="F8" s="1" t="s">
        <v>214</v>
      </c>
      <c r="G8" s="1" t="s">
        <v>215</v>
      </c>
      <c r="H8" s="1"/>
    </row>
    <row r="9" spans="1:8" ht="18" customHeight="1">
      <c r="A9" s="1" t="s">
        <v>179</v>
      </c>
      <c r="B9" s="1" t="s">
        <v>216</v>
      </c>
      <c r="C9" s="1" t="s">
        <v>217</v>
      </c>
      <c r="D9" s="1" t="s">
        <v>218</v>
      </c>
      <c r="E9" s="1" t="s">
        <v>219</v>
      </c>
      <c r="F9" s="1" t="s">
        <v>220</v>
      </c>
      <c r="G9" s="1" t="s">
        <v>221</v>
      </c>
      <c r="H9" s="1"/>
    </row>
    <row r="10" spans="1:8" ht="18" customHeight="1">
      <c r="A10" s="1" t="s">
        <v>179</v>
      </c>
      <c r="B10" s="1" t="s">
        <v>222</v>
      </c>
      <c r="C10" s="1" t="s">
        <v>223</v>
      </c>
      <c r="D10" s="1" t="s">
        <v>224</v>
      </c>
      <c r="E10" s="1" t="s">
        <v>225</v>
      </c>
      <c r="F10" s="1" t="s">
        <v>226</v>
      </c>
      <c r="G10" s="1" t="s">
        <v>221</v>
      </c>
      <c r="H10" s="1"/>
    </row>
    <row r="11" spans="1:8" ht="36" customHeight="1">
      <c r="A11" s="1" t="s">
        <v>179</v>
      </c>
      <c r="B11" s="1" t="s">
        <v>227</v>
      </c>
      <c r="C11" s="1" t="s">
        <v>228</v>
      </c>
      <c r="D11" s="1" t="s">
        <v>229</v>
      </c>
      <c r="E11" s="1" t="s">
        <v>15</v>
      </c>
      <c r="F11" s="1" t="s">
        <v>230</v>
      </c>
      <c r="G11" s="1" t="s">
        <v>231</v>
      </c>
      <c r="H11" s="1"/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7"/>
  <cols>
    <col min="1" max="1" width="16" customWidth="1"/>
    <col min="2" max="2" width="28" customWidth="1"/>
    <col min="3" max="3" width="12" customWidth="1"/>
    <col min="4" max="4" width="10" customWidth="1"/>
    <col min="5" max="5" width="24" customWidth="1"/>
    <col min="6" max="7" width="18" customWidth="1"/>
    <col min="8" max="8" width="28" customWidth="1"/>
  </cols>
  <sheetData>
    <row r="1" spans="1:8" ht="20" customHeight="1">
      <c r="A1" s="26" t="s">
        <v>232</v>
      </c>
      <c r="B1" s="24"/>
      <c r="C1" s="24"/>
      <c r="D1" s="24"/>
      <c r="E1" s="24"/>
      <c r="F1" s="24"/>
      <c r="G1" s="24"/>
      <c r="H1" s="24"/>
    </row>
    <row r="2" spans="1:8" ht="18" customHeight="1">
      <c r="A2" s="15" t="s">
        <v>1</v>
      </c>
      <c r="B2" s="15" t="s">
        <v>2</v>
      </c>
      <c r="C2" s="15" t="s">
        <v>3</v>
      </c>
      <c r="D2" s="15" t="s">
        <v>4</v>
      </c>
      <c r="E2" s="15" t="s">
        <v>233</v>
      </c>
      <c r="F2" s="15" t="s">
        <v>234</v>
      </c>
      <c r="G2" s="15" t="s">
        <v>235</v>
      </c>
      <c r="H2" s="15" t="s">
        <v>8</v>
      </c>
    </row>
    <row r="3" spans="1:8" ht="18" customHeight="1">
      <c r="A3" s="1" t="s">
        <v>236</v>
      </c>
      <c r="B3" s="1" t="s">
        <v>237</v>
      </c>
      <c r="C3" s="16">
        <v>99</v>
      </c>
      <c r="D3" s="1" t="s">
        <v>238</v>
      </c>
      <c r="E3" s="1" t="s">
        <v>239</v>
      </c>
      <c r="F3" s="1" t="s">
        <v>240</v>
      </c>
      <c r="G3" s="1" t="s">
        <v>241</v>
      </c>
      <c r="H3" s="1" t="s">
        <v>183</v>
      </c>
    </row>
    <row r="4" spans="1:8" ht="18" customHeight="1">
      <c r="A4" s="1" t="s">
        <v>236</v>
      </c>
      <c r="B4" s="1" t="s">
        <v>242</v>
      </c>
      <c r="C4" s="16">
        <v>43450</v>
      </c>
      <c r="D4" s="1" t="s">
        <v>11</v>
      </c>
      <c r="E4" s="1" t="s">
        <v>12</v>
      </c>
      <c r="F4" s="1" t="s">
        <v>243</v>
      </c>
      <c r="G4" s="1" t="s">
        <v>244</v>
      </c>
      <c r="H4" s="1" t="s">
        <v>183</v>
      </c>
    </row>
    <row r="5" spans="1:8" ht="18" customHeight="1">
      <c r="A5" s="1" t="s">
        <v>245</v>
      </c>
      <c r="B5" s="1" t="s">
        <v>246</v>
      </c>
      <c r="C5" s="16">
        <v>5</v>
      </c>
      <c r="D5" s="1" t="s">
        <v>247</v>
      </c>
      <c r="E5" s="1" t="s">
        <v>248</v>
      </c>
      <c r="F5" s="1" t="s">
        <v>249</v>
      </c>
      <c r="G5" s="1" t="s">
        <v>250</v>
      </c>
      <c r="H5" s="1" t="s">
        <v>183</v>
      </c>
    </row>
    <row r="6" spans="1:8" ht="18" customHeight="1">
      <c r="A6" s="1" t="s">
        <v>245</v>
      </c>
      <c r="B6" s="1" t="s">
        <v>251</v>
      </c>
      <c r="C6" s="16">
        <v>5</v>
      </c>
      <c r="D6" s="1" t="s">
        <v>247</v>
      </c>
      <c r="E6" s="1" t="s">
        <v>252</v>
      </c>
      <c r="F6" s="1" t="s">
        <v>253</v>
      </c>
      <c r="G6" s="1" t="s">
        <v>254</v>
      </c>
      <c r="H6" s="1" t="s">
        <v>183</v>
      </c>
    </row>
    <row r="7" spans="1:8" ht="18" customHeight="1">
      <c r="A7" s="1" t="s">
        <v>245</v>
      </c>
      <c r="B7" s="1" t="s">
        <v>255</v>
      </c>
      <c r="C7" s="16">
        <v>1</v>
      </c>
      <c r="D7" s="1" t="s">
        <v>247</v>
      </c>
      <c r="E7" s="1" t="s">
        <v>256</v>
      </c>
      <c r="F7" s="1" t="s">
        <v>257</v>
      </c>
      <c r="G7" s="1" t="s">
        <v>258</v>
      </c>
      <c r="H7" s="1" t="s">
        <v>183</v>
      </c>
    </row>
    <row r="8" spans="1:8" ht="18" customHeight="1">
      <c r="A8" s="1" t="s">
        <v>245</v>
      </c>
      <c r="B8" s="1" t="s">
        <v>259</v>
      </c>
      <c r="C8" s="16">
        <v>20</v>
      </c>
      <c r="D8" s="1" t="s">
        <v>260</v>
      </c>
      <c r="E8" s="1" t="s">
        <v>261</v>
      </c>
      <c r="F8" s="1" t="s">
        <v>262</v>
      </c>
      <c r="G8" s="1" t="s">
        <v>263</v>
      </c>
      <c r="H8" s="1" t="s">
        <v>183</v>
      </c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>
      <pane ySplit="2" topLeftCell="A3" activePane="bottomLeft" state="frozen"/>
      <selection pane="bottomLeft" sqref="A1:I1"/>
    </sheetView>
  </sheetViews>
  <sheetFormatPr baseColWidth="10" defaultColWidth="8.83203125" defaultRowHeight="17"/>
  <cols>
    <col min="1" max="1" width="14" customWidth="1"/>
    <col min="2" max="3" width="8" customWidth="1"/>
    <col min="4" max="4" width="18" customWidth="1"/>
    <col min="5" max="5" width="14" customWidth="1"/>
    <col min="6" max="6" width="12" customWidth="1"/>
    <col min="7" max="8" width="22" customWidth="1"/>
    <col min="9" max="9" width="24" customWidth="1"/>
  </cols>
  <sheetData>
    <row r="1" spans="1:9" ht="20" customHeight="1">
      <c r="A1" s="27" t="s">
        <v>264</v>
      </c>
      <c r="B1" s="24"/>
      <c r="C1" s="24"/>
      <c r="D1" s="24"/>
      <c r="E1" s="24"/>
      <c r="F1" s="24"/>
      <c r="G1" s="24"/>
      <c r="H1" s="24"/>
      <c r="I1" s="24"/>
    </row>
    <row r="2" spans="1:9" ht="18" customHeight="1">
      <c r="A2" s="17" t="s">
        <v>265</v>
      </c>
      <c r="B2" s="17" t="s">
        <v>266</v>
      </c>
      <c r="C2" s="17" t="s">
        <v>267</v>
      </c>
      <c r="D2" s="17" t="s">
        <v>268</v>
      </c>
      <c r="E2" s="17" t="s">
        <v>269</v>
      </c>
      <c r="F2" s="17" t="s">
        <v>270</v>
      </c>
      <c r="G2" s="17" t="s">
        <v>233</v>
      </c>
      <c r="H2" s="17" t="s">
        <v>271</v>
      </c>
      <c r="I2" s="17" t="s">
        <v>8</v>
      </c>
    </row>
    <row r="3" spans="1:9" ht="36" customHeight="1">
      <c r="A3" s="1" t="s">
        <v>272</v>
      </c>
      <c r="B3" s="16">
        <v>1</v>
      </c>
      <c r="C3" s="16">
        <v>9</v>
      </c>
      <c r="D3" s="16">
        <v>50</v>
      </c>
      <c r="E3" s="16">
        <v>0</v>
      </c>
      <c r="F3" s="2" t="s">
        <v>273</v>
      </c>
      <c r="G3" s="1" t="s">
        <v>274</v>
      </c>
      <c r="H3" s="1" t="s">
        <v>275</v>
      </c>
      <c r="I3" s="1" t="s">
        <v>189</v>
      </c>
    </row>
    <row r="4" spans="1:9" ht="36" customHeight="1">
      <c r="A4" s="1" t="s">
        <v>276</v>
      </c>
      <c r="B4" s="16">
        <v>10</v>
      </c>
      <c r="C4" s="16">
        <v>19</v>
      </c>
      <c r="D4" s="16">
        <v>80</v>
      </c>
      <c r="E4" s="16">
        <v>450</v>
      </c>
      <c r="F4" s="3" t="s">
        <v>277</v>
      </c>
      <c r="G4" s="1" t="s">
        <v>274</v>
      </c>
      <c r="H4" s="1" t="s">
        <v>275</v>
      </c>
      <c r="I4" s="1" t="s">
        <v>189</v>
      </c>
    </row>
    <row r="5" spans="1:9" ht="36" customHeight="1">
      <c r="A5" s="1" t="s">
        <v>278</v>
      </c>
      <c r="B5" s="16">
        <v>20</v>
      </c>
      <c r="C5" s="16">
        <v>29</v>
      </c>
      <c r="D5" s="16">
        <v>120</v>
      </c>
      <c r="E5" s="16">
        <v>1250</v>
      </c>
      <c r="F5" s="4" t="s">
        <v>279</v>
      </c>
      <c r="G5" s="1" t="s">
        <v>274</v>
      </c>
      <c r="H5" s="1" t="s">
        <v>275</v>
      </c>
      <c r="I5" s="1" t="s">
        <v>189</v>
      </c>
    </row>
    <row r="6" spans="1:9" ht="36" customHeight="1">
      <c r="A6" s="1" t="s">
        <v>280</v>
      </c>
      <c r="B6" s="16">
        <v>30</v>
      </c>
      <c r="C6" s="16">
        <v>39</v>
      </c>
      <c r="D6" s="16">
        <v>180</v>
      </c>
      <c r="E6" s="16">
        <v>2450</v>
      </c>
      <c r="F6" s="5" t="s">
        <v>281</v>
      </c>
      <c r="G6" s="1" t="s">
        <v>274</v>
      </c>
      <c r="H6" s="1" t="s">
        <v>275</v>
      </c>
      <c r="I6" s="1" t="s">
        <v>189</v>
      </c>
    </row>
    <row r="7" spans="1:9" ht="36" customHeight="1">
      <c r="A7" s="1" t="s">
        <v>282</v>
      </c>
      <c r="B7" s="16">
        <v>40</v>
      </c>
      <c r="C7" s="16">
        <v>49</v>
      </c>
      <c r="D7" s="16">
        <v>250</v>
      </c>
      <c r="E7" s="16">
        <v>4250</v>
      </c>
      <c r="F7" s="6" t="s">
        <v>283</v>
      </c>
      <c r="G7" s="1" t="s">
        <v>274</v>
      </c>
      <c r="H7" s="1" t="s">
        <v>275</v>
      </c>
      <c r="I7" s="1" t="s">
        <v>189</v>
      </c>
    </row>
    <row r="8" spans="1:9" ht="36" customHeight="1">
      <c r="A8" s="1" t="s">
        <v>284</v>
      </c>
      <c r="B8" s="16">
        <v>50</v>
      </c>
      <c r="C8" s="16">
        <v>59</v>
      </c>
      <c r="D8" s="16">
        <v>350</v>
      </c>
      <c r="E8" s="16">
        <v>6750</v>
      </c>
      <c r="F8" s="7" t="s">
        <v>17</v>
      </c>
      <c r="G8" s="1" t="s">
        <v>274</v>
      </c>
      <c r="H8" s="1" t="s">
        <v>275</v>
      </c>
      <c r="I8" s="1" t="s">
        <v>189</v>
      </c>
    </row>
    <row r="9" spans="1:9" ht="36" customHeight="1">
      <c r="A9" s="1" t="s">
        <v>285</v>
      </c>
      <c r="B9" s="16">
        <v>60</v>
      </c>
      <c r="C9" s="16">
        <v>69</v>
      </c>
      <c r="D9" s="16">
        <v>500</v>
      </c>
      <c r="E9" s="16">
        <v>10250</v>
      </c>
      <c r="F9" s="8" t="s">
        <v>286</v>
      </c>
      <c r="G9" s="1" t="s">
        <v>274</v>
      </c>
      <c r="H9" s="1" t="s">
        <v>275</v>
      </c>
      <c r="I9" s="1" t="s">
        <v>189</v>
      </c>
    </row>
    <row r="10" spans="1:9" ht="36" customHeight="1">
      <c r="A10" s="1" t="s">
        <v>287</v>
      </c>
      <c r="B10" s="16">
        <v>70</v>
      </c>
      <c r="C10" s="16">
        <v>79</v>
      </c>
      <c r="D10" s="16">
        <v>700</v>
      </c>
      <c r="E10" s="16">
        <v>15250</v>
      </c>
      <c r="F10" s="9" t="s">
        <v>288</v>
      </c>
      <c r="G10" s="1" t="s">
        <v>274</v>
      </c>
      <c r="H10" s="1" t="s">
        <v>275</v>
      </c>
      <c r="I10" s="1" t="s">
        <v>189</v>
      </c>
    </row>
    <row r="11" spans="1:9" ht="36" customHeight="1">
      <c r="A11" s="1" t="s">
        <v>289</v>
      </c>
      <c r="B11" s="16">
        <v>80</v>
      </c>
      <c r="C11" s="16">
        <v>89</v>
      </c>
      <c r="D11" s="16">
        <v>950</v>
      </c>
      <c r="E11" s="16">
        <v>22250</v>
      </c>
      <c r="F11" s="10" t="s">
        <v>290</v>
      </c>
      <c r="G11" s="1" t="s">
        <v>274</v>
      </c>
      <c r="H11" s="1" t="s">
        <v>275</v>
      </c>
      <c r="I11" s="1" t="s">
        <v>189</v>
      </c>
    </row>
    <row r="12" spans="1:9" ht="36" customHeight="1">
      <c r="A12" s="1" t="s">
        <v>291</v>
      </c>
      <c r="B12" s="16">
        <v>90</v>
      </c>
      <c r="C12" s="16">
        <v>98</v>
      </c>
      <c r="D12" s="16">
        <v>1300</v>
      </c>
      <c r="E12" s="16">
        <v>31750</v>
      </c>
      <c r="F12" s="11" t="s">
        <v>292</v>
      </c>
      <c r="G12" s="1" t="s">
        <v>274</v>
      </c>
      <c r="H12" s="1" t="s">
        <v>275</v>
      </c>
      <c r="I12" s="1" t="s">
        <v>189</v>
      </c>
    </row>
    <row r="13" spans="1:9" ht="36" customHeight="1">
      <c r="A13" s="1" t="s">
        <v>293</v>
      </c>
      <c r="B13" s="16">
        <v>99</v>
      </c>
      <c r="C13" s="16">
        <v>99</v>
      </c>
      <c r="D13" s="16">
        <v>0</v>
      </c>
      <c r="E13" s="16">
        <v>43450</v>
      </c>
      <c r="F13" s="11" t="s">
        <v>292</v>
      </c>
      <c r="G13" s="1" t="s">
        <v>274</v>
      </c>
      <c r="H13" s="1" t="s">
        <v>275</v>
      </c>
      <c r="I13" s="1" t="s">
        <v>189</v>
      </c>
    </row>
    <row r="14" spans="1:9">
      <c r="A14" s="12" t="s">
        <v>294</v>
      </c>
      <c r="B14" s="12">
        <f>SUMPRODUCT((C3:C12-B3:B12+1),D3:D12)</f>
        <v>43450</v>
      </c>
      <c r="C14" s="13" t="s">
        <v>295</v>
      </c>
    </row>
  </sheetData>
  <mergeCells count="1">
    <mergeCell ref="A1:I1"/>
  </mergeCells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tabSelected="1" workbookViewId="0">
      <pane ySplit="2" topLeftCell="A3" activePane="bottomLeft" state="frozen"/>
      <selection pane="bottomLeft" activeCell="C11" sqref="C11"/>
    </sheetView>
  </sheetViews>
  <sheetFormatPr baseColWidth="10" defaultColWidth="8.83203125" defaultRowHeight="17"/>
  <cols>
    <col min="1" max="1" width="14" customWidth="1"/>
    <col min="2" max="2" width="28" customWidth="1"/>
    <col min="3" max="3" width="12" customWidth="1"/>
    <col min="4" max="4" width="10" customWidth="1"/>
    <col min="5" max="5" width="24" customWidth="1"/>
    <col min="6" max="7" width="16" customWidth="1"/>
    <col min="8" max="8" width="26" customWidth="1"/>
  </cols>
  <sheetData>
    <row r="1" spans="1:8" ht="20" customHeight="1">
      <c r="A1" s="28" t="s">
        <v>296</v>
      </c>
      <c r="B1" s="24"/>
      <c r="C1" s="24"/>
      <c r="D1" s="24"/>
      <c r="E1" s="24"/>
      <c r="F1" s="24"/>
      <c r="G1" s="24"/>
      <c r="H1" s="24"/>
    </row>
    <row r="2" spans="1:8" ht="18" customHeight="1">
      <c r="A2" s="18" t="s">
        <v>1</v>
      </c>
      <c r="B2" s="18" t="s">
        <v>2</v>
      </c>
      <c r="C2" s="18" t="s">
        <v>3</v>
      </c>
      <c r="D2" s="18" t="s">
        <v>4</v>
      </c>
      <c r="E2" s="18" t="s">
        <v>233</v>
      </c>
      <c r="F2" s="18" t="s">
        <v>234</v>
      </c>
      <c r="G2" s="18" t="s">
        <v>235</v>
      </c>
      <c r="H2" s="18" t="s">
        <v>8</v>
      </c>
    </row>
    <row r="3" spans="1:8" ht="18" customHeight="1">
      <c r="A3" s="1" t="s">
        <v>297</v>
      </c>
      <c r="B3" s="1" t="s">
        <v>298</v>
      </c>
      <c r="C3" s="16">
        <v>10</v>
      </c>
      <c r="D3" s="1" t="s">
        <v>24</v>
      </c>
      <c r="E3" s="1" t="s">
        <v>299</v>
      </c>
      <c r="F3" s="1" t="s">
        <v>300</v>
      </c>
      <c r="G3" s="1" t="s">
        <v>301</v>
      </c>
      <c r="H3" s="1" t="s">
        <v>213</v>
      </c>
    </row>
    <row r="4" spans="1:8" ht="18" customHeight="1">
      <c r="A4" s="1" t="s">
        <v>297</v>
      </c>
      <c r="B4" s="1" t="s">
        <v>302</v>
      </c>
      <c r="C4" s="16">
        <v>700</v>
      </c>
      <c r="D4" s="1" t="s">
        <v>303</v>
      </c>
      <c r="E4" s="1" t="s">
        <v>304</v>
      </c>
      <c r="F4" s="1" t="s">
        <v>305</v>
      </c>
      <c r="G4" s="1" t="s">
        <v>306</v>
      </c>
      <c r="H4" s="1" t="s">
        <v>307</v>
      </c>
    </row>
    <row r="5" spans="1:8" ht="18" customHeight="1">
      <c r="A5" s="1" t="s">
        <v>297</v>
      </c>
      <c r="B5" s="1" t="s">
        <v>308</v>
      </c>
      <c r="C5" s="16">
        <v>1</v>
      </c>
      <c r="D5" s="1" t="s">
        <v>105</v>
      </c>
      <c r="E5" s="1" t="s">
        <v>309</v>
      </c>
      <c r="F5" s="1" t="s">
        <v>310</v>
      </c>
      <c r="G5" s="1" t="s">
        <v>311</v>
      </c>
      <c r="H5" s="1" t="s">
        <v>213</v>
      </c>
    </row>
    <row r="6" spans="1:8" ht="18" customHeight="1">
      <c r="A6" s="1" t="s">
        <v>297</v>
      </c>
      <c r="B6" s="1" t="s">
        <v>312</v>
      </c>
      <c r="C6" s="16">
        <v>20</v>
      </c>
      <c r="D6" s="1" t="s">
        <v>24</v>
      </c>
      <c r="E6" s="1" t="s">
        <v>313</v>
      </c>
      <c r="F6" s="1" t="s">
        <v>314</v>
      </c>
      <c r="G6" s="1" t="s">
        <v>315</v>
      </c>
      <c r="H6" s="1" t="s">
        <v>213</v>
      </c>
    </row>
    <row r="7" spans="1:8" ht="18" customHeight="1">
      <c r="A7" s="1" t="s">
        <v>297</v>
      </c>
      <c r="B7" s="1" t="s">
        <v>316</v>
      </c>
      <c r="C7" s="16">
        <v>0.48</v>
      </c>
      <c r="D7" s="1" t="s">
        <v>168</v>
      </c>
      <c r="E7" s="1" t="s">
        <v>317</v>
      </c>
      <c r="F7" s="1" t="s">
        <v>318</v>
      </c>
      <c r="G7" s="1" t="s">
        <v>319</v>
      </c>
      <c r="H7" s="1" t="s">
        <v>307</v>
      </c>
    </row>
    <row r="8" spans="1:8" ht="18" customHeight="1">
      <c r="A8" s="1" t="s">
        <v>297</v>
      </c>
      <c r="B8" s="1" t="s">
        <v>320</v>
      </c>
      <c r="C8" s="16">
        <v>0.18</v>
      </c>
      <c r="D8" s="1" t="s">
        <v>168</v>
      </c>
      <c r="E8" s="1" t="s">
        <v>321</v>
      </c>
      <c r="F8" s="1" t="s">
        <v>322</v>
      </c>
      <c r="G8" s="1" t="s">
        <v>323</v>
      </c>
      <c r="H8" s="1" t="s">
        <v>307</v>
      </c>
    </row>
    <row r="9" spans="1:8" ht="36" customHeight="1">
      <c r="A9" s="1" t="s">
        <v>297</v>
      </c>
      <c r="B9" s="1" t="s">
        <v>324</v>
      </c>
      <c r="C9" s="16">
        <v>0.14000000000000001</v>
      </c>
      <c r="D9" s="1" t="s">
        <v>168</v>
      </c>
      <c r="E9" s="1" t="s">
        <v>325</v>
      </c>
      <c r="F9" s="1" t="s">
        <v>326</v>
      </c>
      <c r="G9" s="1" t="s">
        <v>327</v>
      </c>
      <c r="H9" s="1" t="s">
        <v>307</v>
      </c>
    </row>
    <row r="10" spans="1:8" ht="18" customHeight="1">
      <c r="A10" s="1" t="s">
        <v>297</v>
      </c>
      <c r="B10" s="1" t="s">
        <v>328</v>
      </c>
      <c r="C10" s="16">
        <v>0.1</v>
      </c>
      <c r="D10" s="1" t="s">
        <v>168</v>
      </c>
      <c r="E10" s="1" t="s">
        <v>329</v>
      </c>
      <c r="F10" s="1" t="s">
        <v>330</v>
      </c>
      <c r="G10" s="1" t="s">
        <v>331</v>
      </c>
      <c r="H10" s="1" t="s">
        <v>307</v>
      </c>
    </row>
    <row r="11" spans="1:8" ht="18" customHeight="1">
      <c r="A11" s="1" t="s">
        <v>297</v>
      </c>
      <c r="B11" s="1" t="s">
        <v>332</v>
      </c>
      <c r="C11" s="16">
        <v>0.04</v>
      </c>
      <c r="D11" s="1" t="s">
        <v>168</v>
      </c>
      <c r="E11" s="1" t="s">
        <v>333</v>
      </c>
      <c r="F11" s="1" t="s">
        <v>334</v>
      </c>
      <c r="G11" s="1" t="s">
        <v>335</v>
      </c>
      <c r="H11" s="1" t="s">
        <v>307</v>
      </c>
    </row>
    <row r="12" spans="1:8" ht="18" customHeight="1">
      <c r="A12" s="1" t="s">
        <v>297</v>
      </c>
      <c r="B12" s="1" t="s">
        <v>336</v>
      </c>
      <c r="C12" s="16">
        <v>0.09</v>
      </c>
      <c r="D12" s="1" t="s">
        <v>168</v>
      </c>
      <c r="E12" s="1" t="s">
        <v>337</v>
      </c>
      <c r="F12" s="1" t="s">
        <v>338</v>
      </c>
      <c r="G12" s="1" t="s">
        <v>339</v>
      </c>
      <c r="H12" s="1" t="s">
        <v>307</v>
      </c>
    </row>
    <row r="13" spans="1:8">
      <c r="A13" t="s">
        <v>297</v>
      </c>
      <c r="B13" t="s">
        <v>340</v>
      </c>
      <c r="C13">
        <v>1E-4</v>
      </c>
      <c r="D13" t="s">
        <v>168</v>
      </c>
      <c r="E13" t="s">
        <v>341</v>
      </c>
      <c r="F13" t="s">
        <v>342</v>
      </c>
      <c r="G13" t="s">
        <v>343</v>
      </c>
      <c r="H13" t="s">
        <v>307</v>
      </c>
    </row>
    <row r="14" spans="1:8" ht="36" customHeight="1">
      <c r="A14" s="1" t="s">
        <v>344</v>
      </c>
      <c r="B14" s="1" t="s">
        <v>345</v>
      </c>
      <c r="C14" s="16" t="s">
        <v>346</v>
      </c>
      <c r="D14" s="1" t="s">
        <v>347</v>
      </c>
      <c r="E14" s="1" t="s">
        <v>348</v>
      </c>
      <c r="F14" s="1" t="s">
        <v>347</v>
      </c>
      <c r="G14" s="1" t="s">
        <v>347</v>
      </c>
      <c r="H14" s="1" t="s">
        <v>213</v>
      </c>
    </row>
    <row r="15" spans="1:8" ht="18" customHeight="1">
      <c r="A15" s="1" t="s">
        <v>344</v>
      </c>
      <c r="B15" s="1" t="s">
        <v>349</v>
      </c>
      <c r="C15" s="16" t="s">
        <v>350</v>
      </c>
      <c r="D15" s="1" t="s">
        <v>347</v>
      </c>
      <c r="E15" s="1" t="s">
        <v>351</v>
      </c>
      <c r="F15" s="1" t="s">
        <v>347</v>
      </c>
      <c r="G15" s="1" t="s">
        <v>347</v>
      </c>
      <c r="H15" s="1" t="s">
        <v>213</v>
      </c>
    </row>
    <row r="16" spans="1:8" ht="18" customHeight="1">
      <c r="A16" s="1" t="s">
        <v>344</v>
      </c>
      <c r="B16" s="1" t="s">
        <v>352</v>
      </c>
      <c r="C16" s="16">
        <v>1</v>
      </c>
      <c r="D16" s="1" t="s">
        <v>238</v>
      </c>
      <c r="E16" s="1" t="s">
        <v>353</v>
      </c>
      <c r="F16" s="1" t="s">
        <v>354</v>
      </c>
      <c r="G16" s="1" t="s">
        <v>355</v>
      </c>
      <c r="H16" s="1" t="s">
        <v>213</v>
      </c>
    </row>
    <row r="17" spans="1:8" ht="18" customHeight="1">
      <c r="A17" s="1" t="s">
        <v>344</v>
      </c>
      <c r="B17" s="1" t="s">
        <v>356</v>
      </c>
      <c r="C17" s="16">
        <v>1</v>
      </c>
      <c r="D17" s="1" t="s">
        <v>238</v>
      </c>
      <c r="E17" s="1" t="s">
        <v>357</v>
      </c>
      <c r="F17" s="1" t="s">
        <v>358</v>
      </c>
      <c r="G17" s="1" t="s">
        <v>359</v>
      </c>
      <c r="H17" s="1" t="s">
        <v>213</v>
      </c>
    </row>
    <row r="18" spans="1:8" ht="36" customHeight="1">
      <c r="A18" s="1" t="s">
        <v>344</v>
      </c>
      <c r="B18" s="1" t="s">
        <v>360</v>
      </c>
      <c r="C18" s="16">
        <v>30</v>
      </c>
      <c r="D18" s="1" t="s">
        <v>361</v>
      </c>
      <c r="E18" s="1" t="s">
        <v>362</v>
      </c>
      <c r="F18" s="1" t="s">
        <v>363</v>
      </c>
      <c r="G18" s="1" t="s">
        <v>364</v>
      </c>
      <c r="H18" s="1" t="s">
        <v>213</v>
      </c>
    </row>
    <row r="19" spans="1:8" ht="36" customHeight="1">
      <c r="A19" s="1" t="s">
        <v>344</v>
      </c>
      <c r="B19" s="1" t="s">
        <v>365</v>
      </c>
      <c r="C19" s="16">
        <v>30</v>
      </c>
      <c r="D19" s="1" t="s">
        <v>361</v>
      </c>
      <c r="E19" s="1" t="s">
        <v>366</v>
      </c>
      <c r="F19" s="1" t="s">
        <v>363</v>
      </c>
      <c r="G19" s="1" t="s">
        <v>364</v>
      </c>
      <c r="H19" s="1" t="s">
        <v>213</v>
      </c>
    </row>
    <row r="20" spans="1:8" ht="36" customHeight="1">
      <c r="A20" s="1" t="s">
        <v>344</v>
      </c>
      <c r="B20" s="1" t="s">
        <v>367</v>
      </c>
      <c r="C20" s="16">
        <v>30</v>
      </c>
      <c r="D20" s="1" t="s">
        <v>361</v>
      </c>
      <c r="E20" s="1" t="s">
        <v>368</v>
      </c>
      <c r="F20" s="1" t="s">
        <v>363</v>
      </c>
      <c r="G20" s="1" t="s">
        <v>364</v>
      </c>
      <c r="H20" s="1" t="s">
        <v>213</v>
      </c>
    </row>
    <row r="21" spans="1:8" ht="36" customHeight="1">
      <c r="A21" s="1" t="s">
        <v>344</v>
      </c>
      <c r="B21" s="1" t="s">
        <v>369</v>
      </c>
      <c r="C21" s="16">
        <v>10</v>
      </c>
      <c r="D21" s="1" t="s">
        <v>361</v>
      </c>
      <c r="E21" s="1" t="s">
        <v>370</v>
      </c>
      <c r="F21" s="1" t="s">
        <v>363</v>
      </c>
      <c r="G21" s="1" t="s">
        <v>364</v>
      </c>
      <c r="H21" s="1" t="s">
        <v>213</v>
      </c>
    </row>
    <row r="22" spans="1:8" ht="18" customHeight="1">
      <c r="A22" s="1" t="s">
        <v>344</v>
      </c>
      <c r="B22" s="1" t="s">
        <v>371</v>
      </c>
      <c r="C22" s="16">
        <v>7</v>
      </c>
      <c r="D22" s="1" t="s">
        <v>24</v>
      </c>
      <c r="E22" s="1" t="s">
        <v>372</v>
      </c>
      <c r="F22" s="1" t="s">
        <v>373</v>
      </c>
      <c r="G22" s="1" t="s">
        <v>374</v>
      </c>
      <c r="H22" s="1" t="s">
        <v>213</v>
      </c>
    </row>
    <row r="23" spans="1:8" ht="18" customHeight="1">
      <c r="A23" s="1" t="s">
        <v>344</v>
      </c>
      <c r="B23" s="1" t="s">
        <v>375</v>
      </c>
      <c r="C23" s="16">
        <v>3</v>
      </c>
      <c r="D23" s="1" t="s">
        <v>24</v>
      </c>
      <c r="E23" s="1" t="s">
        <v>376</v>
      </c>
      <c r="F23" s="1" t="s">
        <v>373</v>
      </c>
      <c r="G23" s="1" t="s">
        <v>374</v>
      </c>
      <c r="H23" s="1" t="s">
        <v>213</v>
      </c>
    </row>
    <row r="24" spans="1:8" ht="18" customHeight="1">
      <c r="A24" s="1" t="s">
        <v>344</v>
      </c>
      <c r="B24" s="1" t="s">
        <v>377</v>
      </c>
      <c r="C24" s="16">
        <v>4</v>
      </c>
      <c r="D24" s="1" t="s">
        <v>24</v>
      </c>
      <c r="E24" s="1" t="s">
        <v>378</v>
      </c>
      <c r="F24" s="1" t="s">
        <v>373</v>
      </c>
      <c r="G24" s="1" t="s">
        <v>374</v>
      </c>
      <c r="H24" s="1" t="s">
        <v>213</v>
      </c>
    </row>
    <row r="25" spans="1:8" ht="18" customHeight="1">
      <c r="A25" s="1" t="s">
        <v>344</v>
      </c>
      <c r="B25" s="1" t="s">
        <v>379</v>
      </c>
      <c r="C25" s="16">
        <v>1</v>
      </c>
      <c r="D25" s="1" t="s">
        <v>24</v>
      </c>
      <c r="E25" s="1" t="s">
        <v>380</v>
      </c>
      <c r="F25" s="1" t="s">
        <v>373</v>
      </c>
      <c r="G25" s="1" t="s">
        <v>374</v>
      </c>
      <c r="H25" s="1" t="s">
        <v>213</v>
      </c>
    </row>
    <row r="26" spans="1:8">
      <c r="A26" t="s">
        <v>381</v>
      </c>
      <c r="B26" t="s">
        <v>345</v>
      </c>
      <c r="C26" t="s">
        <v>382</v>
      </c>
      <c r="D26" t="s">
        <v>347</v>
      </c>
      <c r="E26" t="s">
        <v>348</v>
      </c>
      <c r="F26" t="s">
        <v>347</v>
      </c>
      <c r="G26" t="s">
        <v>347</v>
      </c>
      <c r="H26" t="s">
        <v>213</v>
      </c>
    </row>
    <row r="27" spans="1:8">
      <c r="A27" t="s">
        <v>381</v>
      </c>
      <c r="B27" t="s">
        <v>349</v>
      </c>
      <c r="C27" t="s">
        <v>383</v>
      </c>
      <c r="D27" t="s">
        <v>347</v>
      </c>
      <c r="E27" t="s">
        <v>351</v>
      </c>
      <c r="F27" t="s">
        <v>347</v>
      </c>
      <c r="G27" t="s">
        <v>347</v>
      </c>
      <c r="H27" t="s">
        <v>213</v>
      </c>
    </row>
    <row r="28" spans="1:8">
      <c r="A28" t="s">
        <v>381</v>
      </c>
      <c r="B28" t="s">
        <v>352</v>
      </c>
      <c r="C28">
        <v>10</v>
      </c>
      <c r="D28" t="s">
        <v>238</v>
      </c>
      <c r="E28" t="s">
        <v>353</v>
      </c>
      <c r="F28" t="s">
        <v>354</v>
      </c>
      <c r="G28" t="s">
        <v>355</v>
      </c>
      <c r="H28" t="s">
        <v>213</v>
      </c>
    </row>
    <row r="29" spans="1:8">
      <c r="A29" t="s">
        <v>381</v>
      </c>
      <c r="B29" t="s">
        <v>356</v>
      </c>
      <c r="C29">
        <v>10</v>
      </c>
      <c r="D29" t="s">
        <v>238</v>
      </c>
      <c r="E29" t="s">
        <v>357</v>
      </c>
      <c r="F29" t="s">
        <v>358</v>
      </c>
      <c r="G29" t="s">
        <v>359</v>
      </c>
      <c r="H29" t="s">
        <v>213</v>
      </c>
    </row>
    <row r="30" spans="1:8">
      <c r="A30" t="s">
        <v>381</v>
      </c>
      <c r="B30" t="s">
        <v>308</v>
      </c>
      <c r="C30">
        <v>1</v>
      </c>
      <c r="D30" t="s">
        <v>105</v>
      </c>
      <c r="E30" t="s">
        <v>309</v>
      </c>
      <c r="F30" t="s">
        <v>310</v>
      </c>
      <c r="G30" t="s">
        <v>311</v>
      </c>
      <c r="H30" t="s">
        <v>213</v>
      </c>
    </row>
    <row r="31" spans="1:8">
      <c r="A31" t="s">
        <v>381</v>
      </c>
      <c r="B31" t="s">
        <v>298</v>
      </c>
      <c r="C31">
        <v>10</v>
      </c>
      <c r="D31" t="s">
        <v>24</v>
      </c>
      <c r="E31" t="s">
        <v>384</v>
      </c>
      <c r="F31" t="s">
        <v>385</v>
      </c>
      <c r="G31" t="s">
        <v>386</v>
      </c>
      <c r="H31" t="s">
        <v>213</v>
      </c>
    </row>
    <row r="32" spans="1:8">
      <c r="A32" t="s">
        <v>381</v>
      </c>
      <c r="B32" t="s">
        <v>387</v>
      </c>
      <c r="C32" t="s">
        <v>388</v>
      </c>
      <c r="D32" t="s">
        <v>347</v>
      </c>
      <c r="E32" t="s">
        <v>389</v>
      </c>
      <c r="F32" t="s">
        <v>347</v>
      </c>
      <c r="G32" t="s">
        <v>347</v>
      </c>
      <c r="H32" t="s">
        <v>213</v>
      </c>
    </row>
    <row r="33" spans="1:8">
      <c r="A33" t="s">
        <v>381</v>
      </c>
      <c r="B33" t="s">
        <v>390</v>
      </c>
      <c r="C33" t="s">
        <v>391</v>
      </c>
      <c r="D33" t="s">
        <v>347</v>
      </c>
      <c r="E33" t="s">
        <v>392</v>
      </c>
      <c r="F33" t="s">
        <v>347</v>
      </c>
      <c r="G33" t="s">
        <v>347</v>
      </c>
      <c r="H33" t="s">
        <v>213</v>
      </c>
    </row>
    <row r="34" spans="1:8">
      <c r="A34" t="s">
        <v>381</v>
      </c>
      <c r="B34" t="s">
        <v>312</v>
      </c>
      <c r="C34">
        <v>20</v>
      </c>
      <c r="D34" t="s">
        <v>24</v>
      </c>
      <c r="E34" t="s">
        <v>393</v>
      </c>
      <c r="F34" t="s">
        <v>394</v>
      </c>
      <c r="G34" t="s">
        <v>395</v>
      </c>
      <c r="H34" t="s">
        <v>213</v>
      </c>
    </row>
    <row r="35" spans="1:8">
      <c r="A35" t="s">
        <v>381</v>
      </c>
      <c r="B35" t="s">
        <v>396</v>
      </c>
      <c r="C35" t="s">
        <v>397</v>
      </c>
      <c r="D35" t="s">
        <v>347</v>
      </c>
      <c r="E35" t="s">
        <v>398</v>
      </c>
      <c r="F35" t="s">
        <v>347</v>
      </c>
      <c r="G35" t="s">
        <v>347</v>
      </c>
      <c r="H35" t="s">
        <v>213</v>
      </c>
    </row>
    <row r="36" spans="1:8">
      <c r="A36" t="s">
        <v>381</v>
      </c>
      <c r="B36" t="s">
        <v>399</v>
      </c>
      <c r="C36">
        <v>20</v>
      </c>
      <c r="D36" t="s">
        <v>238</v>
      </c>
      <c r="E36" t="s">
        <v>400</v>
      </c>
      <c r="F36" t="s">
        <v>354</v>
      </c>
      <c r="G36" t="s">
        <v>355</v>
      </c>
      <c r="H36" t="s">
        <v>213</v>
      </c>
    </row>
    <row r="37" spans="1:8">
      <c r="A37" t="s">
        <v>381</v>
      </c>
      <c r="B37" t="s">
        <v>360</v>
      </c>
      <c r="C37">
        <v>30</v>
      </c>
      <c r="D37" t="s">
        <v>361</v>
      </c>
      <c r="E37" t="s">
        <v>362</v>
      </c>
      <c r="F37" t="s">
        <v>401</v>
      </c>
      <c r="G37" t="s">
        <v>364</v>
      </c>
      <c r="H37" t="s">
        <v>213</v>
      </c>
    </row>
    <row r="38" spans="1:8">
      <c r="A38" t="s">
        <v>381</v>
      </c>
      <c r="B38" t="s">
        <v>365</v>
      </c>
      <c r="C38">
        <v>30</v>
      </c>
      <c r="D38" t="s">
        <v>361</v>
      </c>
      <c r="E38" t="s">
        <v>366</v>
      </c>
      <c r="F38" t="s">
        <v>401</v>
      </c>
      <c r="G38" t="s">
        <v>364</v>
      </c>
      <c r="H38" t="s">
        <v>213</v>
      </c>
    </row>
    <row r="39" spans="1:8">
      <c r="A39" t="s">
        <v>381</v>
      </c>
      <c r="B39" t="s">
        <v>367</v>
      </c>
      <c r="C39">
        <v>30</v>
      </c>
      <c r="D39" t="s">
        <v>361</v>
      </c>
      <c r="E39" t="s">
        <v>368</v>
      </c>
      <c r="F39" t="s">
        <v>401</v>
      </c>
      <c r="G39" t="s">
        <v>364</v>
      </c>
      <c r="H39" t="s">
        <v>213</v>
      </c>
    </row>
    <row r="40" spans="1:8">
      <c r="A40" t="s">
        <v>381</v>
      </c>
      <c r="B40" t="s">
        <v>369</v>
      </c>
      <c r="C40">
        <v>10</v>
      </c>
      <c r="D40" t="s">
        <v>361</v>
      </c>
      <c r="E40" t="s">
        <v>370</v>
      </c>
      <c r="F40" t="s">
        <v>401</v>
      </c>
      <c r="G40" t="s">
        <v>364</v>
      </c>
      <c r="H40" t="s">
        <v>213</v>
      </c>
    </row>
    <row r="41" spans="1:8">
      <c r="A41" t="s">
        <v>381</v>
      </c>
      <c r="B41" t="s">
        <v>371</v>
      </c>
      <c r="C41">
        <v>7</v>
      </c>
      <c r="D41" t="s">
        <v>24</v>
      </c>
      <c r="E41" t="s">
        <v>372</v>
      </c>
      <c r="F41" t="s">
        <v>373</v>
      </c>
      <c r="G41" t="s">
        <v>374</v>
      </c>
      <c r="H41" t="s">
        <v>213</v>
      </c>
    </row>
    <row r="42" spans="1:8">
      <c r="A42" t="s">
        <v>381</v>
      </c>
      <c r="B42" t="s">
        <v>375</v>
      </c>
      <c r="C42">
        <v>3</v>
      </c>
      <c r="D42" t="s">
        <v>24</v>
      </c>
      <c r="E42" t="s">
        <v>376</v>
      </c>
      <c r="F42" t="s">
        <v>373</v>
      </c>
      <c r="G42" t="s">
        <v>374</v>
      </c>
      <c r="H42" t="s">
        <v>213</v>
      </c>
    </row>
    <row r="43" spans="1:8">
      <c r="A43" t="s">
        <v>381</v>
      </c>
      <c r="B43" t="s">
        <v>377</v>
      </c>
      <c r="C43">
        <v>4</v>
      </c>
      <c r="D43" t="s">
        <v>24</v>
      </c>
      <c r="E43" t="s">
        <v>378</v>
      </c>
      <c r="F43" t="s">
        <v>373</v>
      </c>
      <c r="G43" t="s">
        <v>374</v>
      </c>
      <c r="H43" t="s">
        <v>213</v>
      </c>
    </row>
    <row r="44" spans="1:8">
      <c r="A44" t="s">
        <v>381</v>
      </c>
      <c r="B44" t="s">
        <v>379</v>
      </c>
      <c r="C44">
        <v>1</v>
      </c>
      <c r="D44" t="s">
        <v>24</v>
      </c>
      <c r="E44" t="s">
        <v>380</v>
      </c>
      <c r="F44" t="s">
        <v>373</v>
      </c>
      <c r="G44" t="s">
        <v>374</v>
      </c>
      <c r="H44" t="s">
        <v>213</v>
      </c>
    </row>
    <row r="45" spans="1:8">
      <c r="A45" t="s">
        <v>402</v>
      </c>
      <c r="B45" t="s">
        <v>345</v>
      </c>
      <c r="C45" t="s">
        <v>397</v>
      </c>
      <c r="D45" t="s">
        <v>347</v>
      </c>
      <c r="E45" t="s">
        <v>348</v>
      </c>
      <c r="F45" t="s">
        <v>347</v>
      </c>
      <c r="G45" t="s">
        <v>347</v>
      </c>
      <c r="H45" t="s">
        <v>213</v>
      </c>
    </row>
    <row r="46" spans="1:8">
      <c r="A46" t="s">
        <v>402</v>
      </c>
      <c r="B46" t="s">
        <v>349</v>
      </c>
      <c r="C46" t="s">
        <v>403</v>
      </c>
      <c r="D46" t="s">
        <v>347</v>
      </c>
      <c r="E46" t="s">
        <v>351</v>
      </c>
      <c r="F46" t="s">
        <v>347</v>
      </c>
      <c r="G46" t="s">
        <v>347</v>
      </c>
      <c r="H46" t="s">
        <v>213</v>
      </c>
    </row>
    <row r="47" spans="1:8">
      <c r="A47" t="s">
        <v>402</v>
      </c>
      <c r="B47" t="s">
        <v>352</v>
      </c>
      <c r="C47">
        <v>20</v>
      </c>
      <c r="D47" t="s">
        <v>238</v>
      </c>
      <c r="E47" t="s">
        <v>353</v>
      </c>
      <c r="F47" t="s">
        <v>354</v>
      </c>
      <c r="G47" t="s">
        <v>355</v>
      </c>
      <c r="H47" t="s">
        <v>213</v>
      </c>
    </row>
    <row r="48" spans="1:8">
      <c r="A48" t="s">
        <v>402</v>
      </c>
      <c r="B48" t="s">
        <v>356</v>
      </c>
      <c r="C48">
        <v>20</v>
      </c>
      <c r="D48" t="s">
        <v>238</v>
      </c>
      <c r="E48" t="s">
        <v>357</v>
      </c>
      <c r="F48" t="s">
        <v>358</v>
      </c>
      <c r="G48" t="s">
        <v>359</v>
      </c>
      <c r="H48" t="s">
        <v>213</v>
      </c>
    </row>
    <row r="49" spans="1:8">
      <c r="A49" t="s">
        <v>402</v>
      </c>
      <c r="B49" t="s">
        <v>308</v>
      </c>
      <c r="C49">
        <v>1</v>
      </c>
      <c r="D49" t="s">
        <v>105</v>
      </c>
      <c r="E49" t="s">
        <v>309</v>
      </c>
      <c r="F49" t="s">
        <v>310</v>
      </c>
      <c r="G49" t="s">
        <v>311</v>
      </c>
      <c r="H49" t="s">
        <v>213</v>
      </c>
    </row>
    <row r="50" spans="1:8">
      <c r="A50" t="s">
        <v>402</v>
      </c>
      <c r="B50" t="s">
        <v>298</v>
      </c>
      <c r="C50">
        <v>10</v>
      </c>
      <c r="D50" t="s">
        <v>24</v>
      </c>
      <c r="E50" t="s">
        <v>384</v>
      </c>
      <c r="F50" t="s">
        <v>385</v>
      </c>
      <c r="G50" t="s">
        <v>386</v>
      </c>
      <c r="H50" t="s">
        <v>213</v>
      </c>
    </row>
    <row r="51" spans="1:8">
      <c r="A51" t="s">
        <v>402</v>
      </c>
      <c r="B51" t="s">
        <v>387</v>
      </c>
      <c r="C51" t="s">
        <v>404</v>
      </c>
      <c r="D51" t="s">
        <v>347</v>
      </c>
      <c r="E51" t="s">
        <v>389</v>
      </c>
      <c r="F51" t="s">
        <v>347</v>
      </c>
      <c r="G51" t="s">
        <v>347</v>
      </c>
      <c r="H51" t="s">
        <v>213</v>
      </c>
    </row>
    <row r="52" spans="1:8">
      <c r="A52" t="s">
        <v>402</v>
      </c>
      <c r="B52" t="s">
        <v>390</v>
      </c>
      <c r="C52" t="s">
        <v>405</v>
      </c>
      <c r="D52" t="s">
        <v>347</v>
      </c>
      <c r="E52" t="s">
        <v>392</v>
      </c>
      <c r="F52" t="s">
        <v>347</v>
      </c>
      <c r="G52" t="s">
        <v>347</v>
      </c>
      <c r="H52" t="s">
        <v>213</v>
      </c>
    </row>
    <row r="53" spans="1:8">
      <c r="A53" t="s">
        <v>402</v>
      </c>
      <c r="B53" t="s">
        <v>312</v>
      </c>
      <c r="C53">
        <v>20</v>
      </c>
      <c r="D53" t="s">
        <v>24</v>
      </c>
      <c r="E53" t="s">
        <v>393</v>
      </c>
      <c r="F53" t="s">
        <v>394</v>
      </c>
      <c r="G53" t="s">
        <v>395</v>
      </c>
      <c r="H53" t="s">
        <v>213</v>
      </c>
    </row>
    <row r="54" spans="1:8">
      <c r="A54" t="s">
        <v>402</v>
      </c>
      <c r="B54" t="s">
        <v>396</v>
      </c>
      <c r="C54" t="s">
        <v>406</v>
      </c>
      <c r="D54" t="s">
        <v>347</v>
      </c>
      <c r="E54" t="s">
        <v>398</v>
      </c>
      <c r="F54" t="s">
        <v>347</v>
      </c>
      <c r="G54" t="s">
        <v>347</v>
      </c>
      <c r="H54" t="s">
        <v>213</v>
      </c>
    </row>
    <row r="55" spans="1:8">
      <c r="A55" t="s">
        <v>402</v>
      </c>
      <c r="B55" t="s">
        <v>399</v>
      </c>
      <c r="C55">
        <v>30</v>
      </c>
      <c r="D55" t="s">
        <v>238</v>
      </c>
      <c r="E55" t="s">
        <v>400</v>
      </c>
      <c r="F55" t="s">
        <v>354</v>
      </c>
      <c r="G55" t="s">
        <v>355</v>
      </c>
      <c r="H55" t="s">
        <v>213</v>
      </c>
    </row>
    <row r="56" spans="1:8">
      <c r="A56" t="s">
        <v>402</v>
      </c>
      <c r="B56" t="s">
        <v>360</v>
      </c>
      <c r="C56">
        <v>30</v>
      </c>
      <c r="D56" t="s">
        <v>361</v>
      </c>
      <c r="E56" t="s">
        <v>362</v>
      </c>
      <c r="F56" t="s">
        <v>401</v>
      </c>
      <c r="G56" t="s">
        <v>364</v>
      </c>
      <c r="H56" t="s">
        <v>213</v>
      </c>
    </row>
    <row r="57" spans="1:8">
      <c r="A57" t="s">
        <v>402</v>
      </c>
      <c r="B57" t="s">
        <v>365</v>
      </c>
      <c r="C57">
        <v>30</v>
      </c>
      <c r="D57" t="s">
        <v>361</v>
      </c>
      <c r="E57" t="s">
        <v>366</v>
      </c>
      <c r="F57" t="s">
        <v>401</v>
      </c>
      <c r="G57" t="s">
        <v>364</v>
      </c>
      <c r="H57" t="s">
        <v>213</v>
      </c>
    </row>
    <row r="58" spans="1:8">
      <c r="A58" t="s">
        <v>402</v>
      </c>
      <c r="B58" t="s">
        <v>367</v>
      </c>
      <c r="C58">
        <v>30</v>
      </c>
      <c r="D58" t="s">
        <v>361</v>
      </c>
      <c r="E58" t="s">
        <v>368</v>
      </c>
      <c r="F58" t="s">
        <v>401</v>
      </c>
      <c r="G58" t="s">
        <v>364</v>
      </c>
      <c r="H58" t="s">
        <v>213</v>
      </c>
    </row>
    <row r="59" spans="1:8">
      <c r="A59" t="s">
        <v>402</v>
      </c>
      <c r="B59" t="s">
        <v>369</v>
      </c>
      <c r="C59">
        <v>10</v>
      </c>
      <c r="D59" t="s">
        <v>361</v>
      </c>
      <c r="E59" t="s">
        <v>370</v>
      </c>
      <c r="F59" t="s">
        <v>401</v>
      </c>
      <c r="G59" t="s">
        <v>364</v>
      </c>
      <c r="H59" t="s">
        <v>213</v>
      </c>
    </row>
    <row r="60" spans="1:8">
      <c r="A60" t="s">
        <v>402</v>
      </c>
      <c r="B60" t="s">
        <v>371</v>
      </c>
      <c r="C60">
        <v>7</v>
      </c>
      <c r="D60" t="s">
        <v>24</v>
      </c>
      <c r="E60" t="s">
        <v>372</v>
      </c>
      <c r="F60" t="s">
        <v>373</v>
      </c>
      <c r="G60" t="s">
        <v>374</v>
      </c>
      <c r="H60" t="s">
        <v>213</v>
      </c>
    </row>
    <row r="61" spans="1:8">
      <c r="A61" t="s">
        <v>402</v>
      </c>
      <c r="B61" t="s">
        <v>375</v>
      </c>
      <c r="C61">
        <v>3</v>
      </c>
      <c r="D61" t="s">
        <v>24</v>
      </c>
      <c r="E61" t="s">
        <v>376</v>
      </c>
      <c r="F61" t="s">
        <v>373</v>
      </c>
      <c r="G61" t="s">
        <v>374</v>
      </c>
      <c r="H61" t="s">
        <v>213</v>
      </c>
    </row>
    <row r="62" spans="1:8">
      <c r="A62" t="s">
        <v>402</v>
      </c>
      <c r="B62" t="s">
        <v>377</v>
      </c>
      <c r="C62">
        <v>4</v>
      </c>
      <c r="D62" t="s">
        <v>24</v>
      </c>
      <c r="E62" t="s">
        <v>378</v>
      </c>
      <c r="F62" t="s">
        <v>373</v>
      </c>
      <c r="G62" t="s">
        <v>374</v>
      </c>
      <c r="H62" t="s">
        <v>213</v>
      </c>
    </row>
    <row r="63" spans="1:8">
      <c r="A63" t="s">
        <v>402</v>
      </c>
      <c r="B63" t="s">
        <v>379</v>
      </c>
      <c r="C63">
        <v>1</v>
      </c>
      <c r="D63" t="s">
        <v>24</v>
      </c>
      <c r="E63" t="s">
        <v>380</v>
      </c>
      <c r="F63" t="s">
        <v>373</v>
      </c>
      <c r="G63" t="s">
        <v>374</v>
      </c>
      <c r="H63" t="s">
        <v>213</v>
      </c>
    </row>
    <row r="64" spans="1:8">
      <c r="A64" t="s">
        <v>407</v>
      </c>
      <c r="B64" t="s">
        <v>345</v>
      </c>
      <c r="C64" t="s">
        <v>406</v>
      </c>
      <c r="D64" t="s">
        <v>347</v>
      </c>
      <c r="E64" t="s">
        <v>348</v>
      </c>
      <c r="F64" t="s">
        <v>347</v>
      </c>
      <c r="G64" t="s">
        <v>347</v>
      </c>
      <c r="H64" t="s">
        <v>213</v>
      </c>
    </row>
    <row r="65" spans="1:8">
      <c r="A65" t="s">
        <v>407</v>
      </c>
      <c r="B65" t="s">
        <v>349</v>
      </c>
      <c r="C65" t="s">
        <v>408</v>
      </c>
      <c r="D65" t="s">
        <v>347</v>
      </c>
      <c r="E65" t="s">
        <v>351</v>
      </c>
      <c r="F65" t="s">
        <v>347</v>
      </c>
      <c r="G65" t="s">
        <v>347</v>
      </c>
      <c r="H65" t="s">
        <v>213</v>
      </c>
    </row>
    <row r="66" spans="1:8">
      <c r="A66" t="s">
        <v>407</v>
      </c>
      <c r="B66" t="s">
        <v>352</v>
      </c>
      <c r="C66">
        <v>30</v>
      </c>
      <c r="D66" t="s">
        <v>238</v>
      </c>
      <c r="E66" t="s">
        <v>353</v>
      </c>
      <c r="F66" t="s">
        <v>354</v>
      </c>
      <c r="G66" t="s">
        <v>355</v>
      </c>
      <c r="H66" t="s">
        <v>213</v>
      </c>
    </row>
    <row r="67" spans="1:8">
      <c r="A67" t="s">
        <v>407</v>
      </c>
      <c r="B67" t="s">
        <v>356</v>
      </c>
      <c r="C67">
        <v>30</v>
      </c>
      <c r="D67" t="s">
        <v>238</v>
      </c>
      <c r="E67" t="s">
        <v>357</v>
      </c>
      <c r="F67" t="s">
        <v>358</v>
      </c>
      <c r="G67" t="s">
        <v>359</v>
      </c>
      <c r="H67" t="s">
        <v>213</v>
      </c>
    </row>
    <row r="68" spans="1:8">
      <c r="A68" t="s">
        <v>407</v>
      </c>
      <c r="B68" t="s">
        <v>308</v>
      </c>
      <c r="C68">
        <v>1</v>
      </c>
      <c r="D68" t="s">
        <v>105</v>
      </c>
      <c r="E68" t="s">
        <v>309</v>
      </c>
      <c r="F68" t="s">
        <v>310</v>
      </c>
      <c r="G68" t="s">
        <v>311</v>
      </c>
      <c r="H68" t="s">
        <v>213</v>
      </c>
    </row>
    <row r="69" spans="1:8">
      <c r="A69" t="s">
        <v>407</v>
      </c>
      <c r="B69" t="s">
        <v>298</v>
      </c>
      <c r="C69">
        <v>10</v>
      </c>
      <c r="D69" t="s">
        <v>24</v>
      </c>
      <c r="E69" t="s">
        <v>384</v>
      </c>
      <c r="F69" t="s">
        <v>385</v>
      </c>
      <c r="G69" t="s">
        <v>386</v>
      </c>
      <c r="H69" t="s">
        <v>213</v>
      </c>
    </row>
    <row r="70" spans="1:8">
      <c r="A70" t="s">
        <v>407</v>
      </c>
      <c r="B70" t="s">
        <v>387</v>
      </c>
      <c r="C70" t="s">
        <v>409</v>
      </c>
      <c r="D70" t="s">
        <v>347</v>
      </c>
      <c r="E70" t="s">
        <v>389</v>
      </c>
      <c r="F70" t="s">
        <v>347</v>
      </c>
      <c r="G70" t="s">
        <v>347</v>
      </c>
      <c r="H70" t="s">
        <v>213</v>
      </c>
    </row>
    <row r="71" spans="1:8">
      <c r="A71" t="s">
        <v>407</v>
      </c>
      <c r="B71" t="s">
        <v>390</v>
      </c>
      <c r="C71" t="s">
        <v>410</v>
      </c>
      <c r="D71" t="s">
        <v>347</v>
      </c>
      <c r="E71" t="s">
        <v>392</v>
      </c>
      <c r="F71" t="s">
        <v>347</v>
      </c>
      <c r="G71" t="s">
        <v>347</v>
      </c>
      <c r="H71" t="s">
        <v>213</v>
      </c>
    </row>
    <row r="72" spans="1:8">
      <c r="A72" t="s">
        <v>407</v>
      </c>
      <c r="B72" t="s">
        <v>312</v>
      </c>
      <c r="C72">
        <v>20</v>
      </c>
      <c r="D72" t="s">
        <v>24</v>
      </c>
      <c r="E72" t="s">
        <v>393</v>
      </c>
      <c r="F72" t="s">
        <v>394</v>
      </c>
      <c r="G72" t="s">
        <v>395</v>
      </c>
      <c r="H72" t="s">
        <v>213</v>
      </c>
    </row>
    <row r="73" spans="1:8">
      <c r="A73" t="s">
        <v>407</v>
      </c>
      <c r="B73" t="s">
        <v>396</v>
      </c>
      <c r="C73" t="s">
        <v>411</v>
      </c>
      <c r="D73" t="s">
        <v>347</v>
      </c>
      <c r="E73" t="s">
        <v>398</v>
      </c>
      <c r="F73" t="s">
        <v>347</v>
      </c>
      <c r="G73" t="s">
        <v>347</v>
      </c>
      <c r="H73" t="s">
        <v>213</v>
      </c>
    </row>
    <row r="74" spans="1:8">
      <c r="A74" t="s">
        <v>407</v>
      </c>
      <c r="B74" t="s">
        <v>399</v>
      </c>
      <c r="C74">
        <v>40</v>
      </c>
      <c r="D74" t="s">
        <v>238</v>
      </c>
      <c r="E74" t="s">
        <v>400</v>
      </c>
      <c r="F74" t="s">
        <v>354</v>
      </c>
      <c r="G74" t="s">
        <v>355</v>
      </c>
      <c r="H74" t="s">
        <v>213</v>
      </c>
    </row>
    <row r="75" spans="1:8">
      <c r="A75" t="s">
        <v>407</v>
      </c>
      <c r="B75" t="s">
        <v>360</v>
      </c>
      <c r="C75">
        <v>30</v>
      </c>
      <c r="D75" t="s">
        <v>361</v>
      </c>
      <c r="E75" t="s">
        <v>362</v>
      </c>
      <c r="F75" t="s">
        <v>401</v>
      </c>
      <c r="G75" t="s">
        <v>364</v>
      </c>
      <c r="H75" t="s">
        <v>213</v>
      </c>
    </row>
    <row r="76" spans="1:8">
      <c r="A76" t="s">
        <v>407</v>
      </c>
      <c r="B76" t="s">
        <v>365</v>
      </c>
      <c r="C76">
        <v>30</v>
      </c>
      <c r="D76" t="s">
        <v>361</v>
      </c>
      <c r="E76" t="s">
        <v>366</v>
      </c>
      <c r="F76" t="s">
        <v>401</v>
      </c>
      <c r="G76" t="s">
        <v>364</v>
      </c>
      <c r="H76" t="s">
        <v>213</v>
      </c>
    </row>
    <row r="77" spans="1:8">
      <c r="A77" t="s">
        <v>407</v>
      </c>
      <c r="B77" t="s">
        <v>367</v>
      </c>
      <c r="C77">
        <v>30</v>
      </c>
      <c r="D77" t="s">
        <v>361</v>
      </c>
      <c r="E77" t="s">
        <v>368</v>
      </c>
      <c r="F77" t="s">
        <v>401</v>
      </c>
      <c r="G77" t="s">
        <v>364</v>
      </c>
      <c r="H77" t="s">
        <v>213</v>
      </c>
    </row>
    <row r="78" spans="1:8">
      <c r="A78" t="s">
        <v>407</v>
      </c>
      <c r="B78" t="s">
        <v>369</v>
      </c>
      <c r="C78">
        <v>10</v>
      </c>
      <c r="D78" t="s">
        <v>361</v>
      </c>
      <c r="E78" t="s">
        <v>370</v>
      </c>
      <c r="F78" t="s">
        <v>401</v>
      </c>
      <c r="G78" t="s">
        <v>364</v>
      </c>
      <c r="H78" t="s">
        <v>213</v>
      </c>
    </row>
    <row r="79" spans="1:8">
      <c r="A79" t="s">
        <v>407</v>
      </c>
      <c r="B79" t="s">
        <v>371</v>
      </c>
      <c r="C79">
        <v>7</v>
      </c>
      <c r="D79" t="s">
        <v>24</v>
      </c>
      <c r="E79" t="s">
        <v>372</v>
      </c>
      <c r="F79" t="s">
        <v>373</v>
      </c>
      <c r="G79" t="s">
        <v>374</v>
      </c>
      <c r="H79" t="s">
        <v>213</v>
      </c>
    </row>
    <row r="80" spans="1:8">
      <c r="A80" t="s">
        <v>407</v>
      </c>
      <c r="B80" t="s">
        <v>375</v>
      </c>
      <c r="C80">
        <v>3</v>
      </c>
      <c r="D80" t="s">
        <v>24</v>
      </c>
      <c r="E80" t="s">
        <v>376</v>
      </c>
      <c r="F80" t="s">
        <v>373</v>
      </c>
      <c r="G80" t="s">
        <v>374</v>
      </c>
      <c r="H80" t="s">
        <v>213</v>
      </c>
    </row>
    <row r="81" spans="1:8">
      <c r="A81" t="s">
        <v>407</v>
      </c>
      <c r="B81" t="s">
        <v>377</v>
      </c>
      <c r="C81">
        <v>4</v>
      </c>
      <c r="D81" t="s">
        <v>24</v>
      </c>
      <c r="E81" t="s">
        <v>378</v>
      </c>
      <c r="F81" t="s">
        <v>373</v>
      </c>
      <c r="G81" t="s">
        <v>374</v>
      </c>
      <c r="H81" t="s">
        <v>213</v>
      </c>
    </row>
    <row r="82" spans="1:8">
      <c r="A82" t="s">
        <v>407</v>
      </c>
      <c r="B82" t="s">
        <v>379</v>
      </c>
      <c r="C82">
        <v>1</v>
      </c>
      <c r="D82" t="s">
        <v>24</v>
      </c>
      <c r="E82" t="s">
        <v>380</v>
      </c>
      <c r="F82" t="s">
        <v>373</v>
      </c>
      <c r="G82" t="s">
        <v>374</v>
      </c>
      <c r="H82" t="s">
        <v>213</v>
      </c>
    </row>
    <row r="83" spans="1:8">
      <c r="A83" t="s">
        <v>412</v>
      </c>
      <c r="B83" t="s">
        <v>345</v>
      </c>
      <c r="C83" t="s">
        <v>411</v>
      </c>
      <c r="D83" t="s">
        <v>347</v>
      </c>
      <c r="E83" t="s">
        <v>348</v>
      </c>
      <c r="F83" t="s">
        <v>347</v>
      </c>
      <c r="G83" t="s">
        <v>347</v>
      </c>
      <c r="H83" t="s">
        <v>213</v>
      </c>
    </row>
    <row r="84" spans="1:8">
      <c r="A84" t="s">
        <v>412</v>
      </c>
      <c r="B84" t="s">
        <v>349</v>
      </c>
      <c r="C84" t="s">
        <v>413</v>
      </c>
      <c r="D84" t="s">
        <v>347</v>
      </c>
      <c r="E84" t="s">
        <v>351</v>
      </c>
      <c r="F84" t="s">
        <v>347</v>
      </c>
      <c r="G84" t="s">
        <v>347</v>
      </c>
      <c r="H84" t="s">
        <v>213</v>
      </c>
    </row>
    <row r="85" spans="1:8">
      <c r="A85" t="s">
        <v>412</v>
      </c>
      <c r="B85" t="s">
        <v>352</v>
      </c>
      <c r="C85">
        <v>40</v>
      </c>
      <c r="D85" t="s">
        <v>238</v>
      </c>
      <c r="E85" t="s">
        <v>353</v>
      </c>
      <c r="F85" t="s">
        <v>354</v>
      </c>
      <c r="G85" t="s">
        <v>355</v>
      </c>
      <c r="H85" t="s">
        <v>213</v>
      </c>
    </row>
    <row r="86" spans="1:8">
      <c r="A86" t="s">
        <v>412</v>
      </c>
      <c r="B86" t="s">
        <v>356</v>
      </c>
      <c r="C86">
        <v>40</v>
      </c>
      <c r="D86" t="s">
        <v>238</v>
      </c>
      <c r="E86" t="s">
        <v>357</v>
      </c>
      <c r="F86" t="s">
        <v>358</v>
      </c>
      <c r="G86" t="s">
        <v>359</v>
      </c>
      <c r="H86" t="s">
        <v>213</v>
      </c>
    </row>
    <row r="87" spans="1:8">
      <c r="A87" t="s">
        <v>412</v>
      </c>
      <c r="B87" t="s">
        <v>308</v>
      </c>
      <c r="C87">
        <v>1</v>
      </c>
      <c r="D87" t="s">
        <v>105</v>
      </c>
      <c r="E87" t="s">
        <v>309</v>
      </c>
      <c r="F87" t="s">
        <v>310</v>
      </c>
      <c r="G87" t="s">
        <v>311</v>
      </c>
      <c r="H87" t="s">
        <v>213</v>
      </c>
    </row>
    <row r="88" spans="1:8">
      <c r="A88" t="s">
        <v>412</v>
      </c>
      <c r="B88" t="s">
        <v>298</v>
      </c>
      <c r="C88">
        <v>10</v>
      </c>
      <c r="D88" t="s">
        <v>24</v>
      </c>
      <c r="E88" t="s">
        <v>384</v>
      </c>
      <c r="F88" t="s">
        <v>385</v>
      </c>
      <c r="G88" t="s">
        <v>386</v>
      </c>
      <c r="H88" t="s">
        <v>213</v>
      </c>
    </row>
    <row r="89" spans="1:8">
      <c r="A89" t="s">
        <v>412</v>
      </c>
      <c r="B89" t="s">
        <v>387</v>
      </c>
      <c r="C89" t="s">
        <v>414</v>
      </c>
      <c r="D89" t="s">
        <v>347</v>
      </c>
      <c r="E89" t="s">
        <v>389</v>
      </c>
      <c r="F89" t="s">
        <v>347</v>
      </c>
      <c r="G89" t="s">
        <v>347</v>
      </c>
      <c r="H89" t="s">
        <v>213</v>
      </c>
    </row>
    <row r="90" spans="1:8">
      <c r="A90" t="s">
        <v>412</v>
      </c>
      <c r="B90" t="s">
        <v>390</v>
      </c>
      <c r="C90" t="s">
        <v>415</v>
      </c>
      <c r="D90" t="s">
        <v>347</v>
      </c>
      <c r="E90" t="s">
        <v>392</v>
      </c>
      <c r="F90" t="s">
        <v>347</v>
      </c>
      <c r="G90" t="s">
        <v>347</v>
      </c>
      <c r="H90" t="s">
        <v>213</v>
      </c>
    </row>
    <row r="91" spans="1:8">
      <c r="A91" t="s">
        <v>412</v>
      </c>
      <c r="B91" t="s">
        <v>312</v>
      </c>
      <c r="C91">
        <v>20</v>
      </c>
      <c r="D91" t="s">
        <v>24</v>
      </c>
      <c r="E91" t="s">
        <v>393</v>
      </c>
      <c r="F91" t="s">
        <v>394</v>
      </c>
      <c r="G91" t="s">
        <v>395</v>
      </c>
      <c r="H91" t="s">
        <v>213</v>
      </c>
    </row>
    <row r="92" spans="1:8">
      <c r="A92" t="s">
        <v>412</v>
      </c>
      <c r="B92" t="s">
        <v>396</v>
      </c>
      <c r="D92" t="s">
        <v>347</v>
      </c>
      <c r="E92" t="s">
        <v>398</v>
      </c>
      <c r="F92" t="s">
        <v>347</v>
      </c>
      <c r="G92" t="s">
        <v>347</v>
      </c>
      <c r="H92" t="s">
        <v>213</v>
      </c>
    </row>
    <row r="93" spans="1:8">
      <c r="A93" t="s">
        <v>412</v>
      </c>
      <c r="B93" t="s">
        <v>399</v>
      </c>
      <c r="C93">
        <v>0</v>
      </c>
      <c r="D93" t="s">
        <v>238</v>
      </c>
      <c r="E93" t="s">
        <v>400</v>
      </c>
      <c r="F93" t="s">
        <v>354</v>
      </c>
      <c r="G93" t="s">
        <v>355</v>
      </c>
      <c r="H93" t="s">
        <v>213</v>
      </c>
    </row>
    <row r="94" spans="1:8">
      <c r="A94" t="s">
        <v>412</v>
      </c>
      <c r="B94" t="s">
        <v>360</v>
      </c>
      <c r="C94">
        <v>30</v>
      </c>
      <c r="D94" t="s">
        <v>361</v>
      </c>
      <c r="E94" t="s">
        <v>362</v>
      </c>
      <c r="F94" t="s">
        <v>401</v>
      </c>
      <c r="G94" t="s">
        <v>364</v>
      </c>
      <c r="H94" t="s">
        <v>213</v>
      </c>
    </row>
    <row r="95" spans="1:8">
      <c r="A95" t="s">
        <v>412</v>
      </c>
      <c r="B95" t="s">
        <v>365</v>
      </c>
      <c r="C95">
        <v>30</v>
      </c>
      <c r="D95" t="s">
        <v>361</v>
      </c>
      <c r="E95" t="s">
        <v>366</v>
      </c>
      <c r="F95" t="s">
        <v>401</v>
      </c>
      <c r="G95" t="s">
        <v>364</v>
      </c>
      <c r="H95" t="s">
        <v>213</v>
      </c>
    </row>
    <row r="96" spans="1:8">
      <c r="A96" t="s">
        <v>412</v>
      </c>
      <c r="B96" t="s">
        <v>367</v>
      </c>
      <c r="C96">
        <v>30</v>
      </c>
      <c r="D96" t="s">
        <v>361</v>
      </c>
      <c r="E96" t="s">
        <v>368</v>
      </c>
      <c r="F96" t="s">
        <v>401</v>
      </c>
      <c r="G96" t="s">
        <v>364</v>
      </c>
      <c r="H96" t="s">
        <v>213</v>
      </c>
    </row>
    <row r="97" spans="1:8">
      <c r="A97" t="s">
        <v>412</v>
      </c>
      <c r="B97" t="s">
        <v>369</v>
      </c>
      <c r="C97">
        <v>10</v>
      </c>
      <c r="D97" t="s">
        <v>361</v>
      </c>
      <c r="E97" t="s">
        <v>370</v>
      </c>
      <c r="F97" t="s">
        <v>401</v>
      </c>
      <c r="G97" t="s">
        <v>364</v>
      </c>
      <c r="H97" t="s">
        <v>213</v>
      </c>
    </row>
    <row r="98" spans="1:8">
      <c r="A98" t="s">
        <v>412</v>
      </c>
      <c r="B98" t="s">
        <v>371</v>
      </c>
      <c r="C98">
        <v>7</v>
      </c>
      <c r="D98" t="s">
        <v>24</v>
      </c>
      <c r="E98" t="s">
        <v>372</v>
      </c>
      <c r="F98" t="s">
        <v>373</v>
      </c>
      <c r="G98" t="s">
        <v>374</v>
      </c>
      <c r="H98" t="s">
        <v>213</v>
      </c>
    </row>
    <row r="99" spans="1:8">
      <c r="A99" t="s">
        <v>412</v>
      </c>
      <c r="B99" t="s">
        <v>375</v>
      </c>
      <c r="C99">
        <v>3</v>
      </c>
      <c r="D99" t="s">
        <v>24</v>
      </c>
      <c r="E99" t="s">
        <v>376</v>
      </c>
      <c r="F99" t="s">
        <v>373</v>
      </c>
      <c r="G99" t="s">
        <v>374</v>
      </c>
      <c r="H99" t="s">
        <v>213</v>
      </c>
    </row>
    <row r="100" spans="1:8">
      <c r="A100" t="s">
        <v>412</v>
      </c>
      <c r="B100" t="s">
        <v>377</v>
      </c>
      <c r="C100">
        <v>4</v>
      </c>
      <c r="D100" t="s">
        <v>24</v>
      </c>
      <c r="E100" t="s">
        <v>378</v>
      </c>
      <c r="F100" t="s">
        <v>373</v>
      </c>
      <c r="G100" t="s">
        <v>374</v>
      </c>
      <c r="H100" t="s">
        <v>213</v>
      </c>
    </row>
    <row r="101" spans="1:8">
      <c r="A101" t="s">
        <v>412</v>
      </c>
      <c r="B101" t="s">
        <v>379</v>
      </c>
      <c r="C101">
        <v>1</v>
      </c>
      <c r="D101" t="s">
        <v>24</v>
      </c>
      <c r="E101" t="s">
        <v>380</v>
      </c>
      <c r="F101" t="s">
        <v>373</v>
      </c>
      <c r="G101" t="s">
        <v>374</v>
      </c>
      <c r="H101" t="s">
        <v>213</v>
      </c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7"/>
  <cols>
    <col min="1" max="1" width="14" customWidth="1"/>
    <col min="2" max="2" width="28" customWidth="1"/>
    <col min="3" max="3" width="12" customWidth="1"/>
    <col min="4" max="4" width="10" customWidth="1"/>
    <col min="5" max="5" width="24" customWidth="1"/>
    <col min="6" max="7" width="16" customWidth="1"/>
    <col min="8" max="8" width="28" customWidth="1"/>
  </cols>
  <sheetData>
    <row r="1" spans="1:8" ht="20" customHeight="1">
      <c r="A1" s="29" t="s">
        <v>416</v>
      </c>
      <c r="B1" s="24"/>
      <c r="C1" s="24"/>
      <c r="D1" s="24"/>
      <c r="E1" s="24"/>
      <c r="F1" s="24"/>
      <c r="G1" s="24"/>
      <c r="H1" s="24"/>
    </row>
    <row r="2" spans="1:8" ht="18" customHeight="1">
      <c r="A2" s="19" t="s">
        <v>1</v>
      </c>
      <c r="B2" s="19" t="s">
        <v>2</v>
      </c>
      <c r="C2" s="19" t="s">
        <v>3</v>
      </c>
      <c r="D2" s="19" t="s">
        <v>4</v>
      </c>
      <c r="E2" s="19" t="s">
        <v>233</v>
      </c>
      <c r="F2" s="19" t="s">
        <v>234</v>
      </c>
      <c r="G2" s="19" t="s">
        <v>235</v>
      </c>
      <c r="H2" s="19" t="s">
        <v>8</v>
      </c>
    </row>
    <row r="3" spans="1:8" ht="18" customHeight="1">
      <c r="A3" s="1" t="s">
        <v>417</v>
      </c>
      <c r="B3" s="1" t="s">
        <v>418</v>
      </c>
      <c r="C3" s="16">
        <v>30</v>
      </c>
      <c r="D3" s="1" t="s">
        <v>11</v>
      </c>
      <c r="E3" s="1" t="s">
        <v>419</v>
      </c>
      <c r="F3" s="1" t="s">
        <v>420</v>
      </c>
      <c r="G3" s="1" t="s">
        <v>421</v>
      </c>
      <c r="H3" s="1" t="s">
        <v>201</v>
      </c>
    </row>
    <row r="4" spans="1:8" ht="18" customHeight="1">
      <c r="A4" s="1" t="s">
        <v>417</v>
      </c>
      <c r="B4" s="1" t="s">
        <v>422</v>
      </c>
      <c r="C4" s="16">
        <v>40</v>
      </c>
      <c r="D4" s="1" t="s">
        <v>45</v>
      </c>
      <c r="E4" s="1" t="s">
        <v>423</v>
      </c>
      <c r="F4" s="1" t="s">
        <v>420</v>
      </c>
      <c r="G4" s="1" t="s">
        <v>421</v>
      </c>
      <c r="H4" s="1" t="s">
        <v>201</v>
      </c>
    </row>
    <row r="5" spans="1:8" ht="18" customHeight="1">
      <c r="A5" s="1" t="s">
        <v>417</v>
      </c>
      <c r="B5" s="1" t="s">
        <v>424</v>
      </c>
      <c r="C5" s="16">
        <v>50</v>
      </c>
      <c r="D5" s="1" t="s">
        <v>11</v>
      </c>
      <c r="E5" s="1" t="s">
        <v>425</v>
      </c>
      <c r="F5" s="1" t="s">
        <v>420</v>
      </c>
      <c r="G5" s="1" t="s">
        <v>421</v>
      </c>
      <c r="H5" s="1" t="s">
        <v>201</v>
      </c>
    </row>
    <row r="6" spans="1:8" ht="18" customHeight="1">
      <c r="A6" s="1" t="s">
        <v>417</v>
      </c>
      <c r="B6" s="1" t="s">
        <v>426</v>
      </c>
      <c r="C6" s="16">
        <v>70</v>
      </c>
      <c r="D6" s="1" t="s">
        <v>45</v>
      </c>
      <c r="E6" s="1" t="s">
        <v>427</v>
      </c>
      <c r="F6" s="1" t="s">
        <v>420</v>
      </c>
      <c r="G6" s="1" t="s">
        <v>421</v>
      </c>
      <c r="H6" s="1" t="s">
        <v>201</v>
      </c>
    </row>
    <row r="7" spans="1:8" ht="18" customHeight="1">
      <c r="A7" s="1" t="s">
        <v>417</v>
      </c>
      <c r="B7" s="1" t="s">
        <v>428</v>
      </c>
      <c r="C7" s="16">
        <v>80</v>
      </c>
      <c r="D7" s="1" t="s">
        <v>11</v>
      </c>
      <c r="E7" s="1" t="s">
        <v>429</v>
      </c>
      <c r="F7" s="1" t="s">
        <v>420</v>
      </c>
      <c r="G7" s="1" t="s">
        <v>421</v>
      </c>
      <c r="H7" s="1" t="s">
        <v>201</v>
      </c>
    </row>
    <row r="8" spans="1:8" ht="18" customHeight="1">
      <c r="A8" s="1" t="s">
        <v>417</v>
      </c>
      <c r="B8" s="1" t="s">
        <v>430</v>
      </c>
      <c r="C8" s="16">
        <v>120</v>
      </c>
      <c r="D8" s="1" t="s">
        <v>45</v>
      </c>
      <c r="E8" s="1" t="s">
        <v>431</v>
      </c>
      <c r="F8" s="1" t="s">
        <v>420</v>
      </c>
      <c r="G8" s="1" t="s">
        <v>421</v>
      </c>
      <c r="H8" s="1" t="s">
        <v>201</v>
      </c>
    </row>
    <row r="9" spans="1:8" ht="18" customHeight="1">
      <c r="A9" s="1" t="s">
        <v>417</v>
      </c>
      <c r="B9" s="1" t="s">
        <v>432</v>
      </c>
      <c r="C9" s="16">
        <v>120</v>
      </c>
      <c r="D9" s="1" t="s">
        <v>11</v>
      </c>
      <c r="E9" s="1" t="s">
        <v>433</v>
      </c>
      <c r="F9" s="1" t="s">
        <v>420</v>
      </c>
      <c r="G9" s="1" t="s">
        <v>421</v>
      </c>
      <c r="H9" s="1" t="s">
        <v>201</v>
      </c>
    </row>
    <row r="10" spans="1:8" ht="18" customHeight="1">
      <c r="A10" s="1" t="s">
        <v>417</v>
      </c>
      <c r="B10" s="1" t="s">
        <v>434</v>
      </c>
      <c r="C10" s="16">
        <v>200</v>
      </c>
      <c r="D10" s="1" t="s">
        <v>45</v>
      </c>
      <c r="E10" s="1" t="s">
        <v>435</v>
      </c>
      <c r="F10" s="1" t="s">
        <v>420</v>
      </c>
      <c r="G10" s="1" t="s">
        <v>421</v>
      </c>
      <c r="H10" s="1" t="s">
        <v>201</v>
      </c>
    </row>
    <row r="11" spans="1:8" ht="18" customHeight="1">
      <c r="A11" s="1" t="s">
        <v>436</v>
      </c>
      <c r="B11" s="1" t="s">
        <v>437</v>
      </c>
      <c r="C11" s="16">
        <v>45</v>
      </c>
      <c r="D11" s="1" t="s">
        <v>361</v>
      </c>
      <c r="E11" s="1" t="s">
        <v>438</v>
      </c>
      <c r="F11" s="1" t="s">
        <v>439</v>
      </c>
      <c r="G11" s="1" t="s">
        <v>440</v>
      </c>
      <c r="H11" s="1" t="s">
        <v>201</v>
      </c>
    </row>
    <row r="12" spans="1:8" ht="18" customHeight="1">
      <c r="A12" s="1" t="s">
        <v>436</v>
      </c>
      <c r="B12" s="1" t="s">
        <v>441</v>
      </c>
      <c r="C12" s="16">
        <v>35</v>
      </c>
      <c r="D12" s="1" t="s">
        <v>361</v>
      </c>
      <c r="E12" s="1" t="s">
        <v>442</v>
      </c>
      <c r="F12" s="1" t="s">
        <v>439</v>
      </c>
      <c r="G12" s="1" t="s">
        <v>440</v>
      </c>
      <c r="H12" s="1" t="s">
        <v>201</v>
      </c>
    </row>
    <row r="13" spans="1:8" ht="18" customHeight="1">
      <c r="A13" s="1" t="s">
        <v>436</v>
      </c>
      <c r="B13" s="1" t="s">
        <v>443</v>
      </c>
      <c r="C13" s="16">
        <v>15</v>
      </c>
      <c r="D13" s="1" t="s">
        <v>361</v>
      </c>
      <c r="E13" s="1" t="s">
        <v>444</v>
      </c>
      <c r="F13" s="1" t="s">
        <v>439</v>
      </c>
      <c r="G13" s="1" t="s">
        <v>440</v>
      </c>
      <c r="H13" s="1" t="s">
        <v>201</v>
      </c>
    </row>
    <row r="14" spans="1:8" ht="18" customHeight="1">
      <c r="A14" s="1" t="s">
        <v>436</v>
      </c>
      <c r="B14" s="1" t="s">
        <v>445</v>
      </c>
      <c r="C14" s="16">
        <v>5</v>
      </c>
      <c r="D14" s="1" t="s">
        <v>361</v>
      </c>
      <c r="E14" s="1" t="s">
        <v>446</v>
      </c>
      <c r="F14" s="1" t="s">
        <v>439</v>
      </c>
      <c r="G14" s="1" t="s">
        <v>440</v>
      </c>
      <c r="H14" s="1" t="s">
        <v>201</v>
      </c>
    </row>
    <row r="15" spans="1:8" ht="18" customHeight="1">
      <c r="A15" s="1" t="s">
        <v>447</v>
      </c>
      <c r="B15" s="1" t="s">
        <v>448</v>
      </c>
      <c r="C15" s="16">
        <v>6</v>
      </c>
      <c r="D15" s="1" t="s">
        <v>449</v>
      </c>
      <c r="E15" s="1" t="s">
        <v>450</v>
      </c>
      <c r="F15" s="1" t="s">
        <v>451</v>
      </c>
      <c r="G15" s="1" t="s">
        <v>452</v>
      </c>
      <c r="H15" s="1" t="s">
        <v>183</v>
      </c>
    </row>
    <row r="16" spans="1:8" ht="18" customHeight="1">
      <c r="A16" s="1" t="s">
        <v>447</v>
      </c>
      <c r="B16" s="1" t="s">
        <v>453</v>
      </c>
      <c r="C16" s="16">
        <v>20</v>
      </c>
      <c r="D16" s="1" t="s">
        <v>260</v>
      </c>
      <c r="E16" s="1" t="s">
        <v>454</v>
      </c>
      <c r="F16" s="1" t="s">
        <v>455</v>
      </c>
      <c r="G16" s="1" t="s">
        <v>456</v>
      </c>
      <c r="H16" s="1" t="s">
        <v>183</v>
      </c>
    </row>
    <row r="17" spans="1:8" ht="18" customHeight="1">
      <c r="A17" s="1" t="s">
        <v>43</v>
      </c>
      <c r="B17" s="1" t="s">
        <v>457</v>
      </c>
      <c r="C17" s="16">
        <v>200</v>
      </c>
      <c r="D17" s="1" t="s">
        <v>45</v>
      </c>
      <c r="E17" s="1" t="s">
        <v>46</v>
      </c>
      <c r="F17" s="1" t="s">
        <v>458</v>
      </c>
      <c r="G17" s="1" t="s">
        <v>459</v>
      </c>
      <c r="H17" s="1" t="s">
        <v>49</v>
      </c>
    </row>
    <row r="18" spans="1:8">
      <c r="A18" s="12" t="s">
        <v>460</v>
      </c>
      <c r="B18" s="12">
        <f>SUM(C11:C14)</f>
        <v>100</v>
      </c>
      <c r="C18" s="13" t="s">
        <v>461</v>
      </c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5"/>
  <sheetViews>
    <sheetView workbookViewId="0">
      <pane ySplit="2" topLeftCell="A3" activePane="bottomLeft" state="frozen"/>
      <selection pane="bottomLeft" sqref="A1:H1"/>
    </sheetView>
  </sheetViews>
  <sheetFormatPr baseColWidth="10" defaultColWidth="8.83203125" defaultRowHeight="17"/>
  <cols>
    <col min="1" max="1" width="16" customWidth="1"/>
    <col min="2" max="2" width="12" customWidth="1"/>
    <col min="3" max="3" width="10" customWidth="1"/>
    <col min="4" max="4" width="12" customWidth="1"/>
    <col min="5" max="5" width="14" customWidth="1"/>
    <col min="6" max="6" width="16" customWidth="1"/>
    <col min="7" max="7" width="20" customWidth="1"/>
    <col min="8" max="8" width="24" customWidth="1"/>
  </cols>
  <sheetData>
    <row r="1" spans="1:9" ht="20" customHeight="1">
      <c r="A1" s="30" t="s">
        <v>462</v>
      </c>
      <c r="B1" s="24"/>
      <c r="C1" s="24"/>
      <c r="D1" s="24"/>
      <c r="E1" s="24"/>
      <c r="F1" s="24"/>
      <c r="G1" s="24"/>
      <c r="H1" s="24"/>
    </row>
    <row r="2" spans="1:9" ht="18" customHeight="1">
      <c r="A2" s="20" t="s">
        <v>463</v>
      </c>
      <c r="B2" s="20" t="s">
        <v>464</v>
      </c>
      <c r="C2" s="20" t="s">
        <v>1</v>
      </c>
      <c r="D2" s="20" t="s">
        <v>465</v>
      </c>
      <c r="E2" t="s">
        <v>466</v>
      </c>
      <c r="F2" s="20" t="s">
        <v>467</v>
      </c>
      <c r="G2" s="20" t="s">
        <v>468</v>
      </c>
      <c r="H2" s="20" t="s">
        <v>469</v>
      </c>
      <c r="I2" s="20" t="s">
        <v>8</v>
      </c>
    </row>
    <row r="3" spans="1:9" ht="36" customHeight="1">
      <c r="A3" s="1" t="s">
        <v>470</v>
      </c>
      <c r="B3" s="1" t="s">
        <v>471</v>
      </c>
      <c r="C3" s="1" t="s">
        <v>472</v>
      </c>
      <c r="D3" s="1" t="s">
        <v>473</v>
      </c>
      <c r="E3" t="s">
        <v>474</v>
      </c>
      <c r="F3" s="16"/>
      <c r="G3" s="1" t="s">
        <v>475</v>
      </c>
      <c r="H3" s="1" t="s">
        <v>476</v>
      </c>
      <c r="I3" s="1" t="s">
        <v>207</v>
      </c>
    </row>
    <row r="4" spans="1:9" ht="36" customHeight="1">
      <c r="A4" s="1" t="s">
        <v>477</v>
      </c>
      <c r="B4" s="1" t="s">
        <v>478</v>
      </c>
      <c r="C4" s="1" t="s">
        <v>472</v>
      </c>
      <c r="D4" s="1" t="s">
        <v>473</v>
      </c>
      <c r="E4" t="s">
        <v>474</v>
      </c>
      <c r="F4" s="16"/>
      <c r="G4" s="1" t="s">
        <v>475</v>
      </c>
      <c r="H4" s="1" t="s">
        <v>476</v>
      </c>
      <c r="I4" s="1" t="s">
        <v>207</v>
      </c>
    </row>
    <row r="5" spans="1:9" ht="36" customHeight="1">
      <c r="A5" s="1" t="s">
        <v>479</v>
      </c>
      <c r="B5" s="1" t="s">
        <v>480</v>
      </c>
      <c r="C5" s="1" t="s">
        <v>472</v>
      </c>
      <c r="D5" s="1" t="s">
        <v>473</v>
      </c>
      <c r="E5" t="s">
        <v>474</v>
      </c>
      <c r="F5" s="16"/>
      <c r="G5" s="1" t="s">
        <v>475</v>
      </c>
      <c r="H5" s="1" t="s">
        <v>476</v>
      </c>
      <c r="I5" s="1" t="s">
        <v>207</v>
      </c>
    </row>
    <row r="6" spans="1:9" ht="36" customHeight="1">
      <c r="A6" s="1" t="s">
        <v>481</v>
      </c>
      <c r="B6" s="1" t="s">
        <v>482</v>
      </c>
      <c r="C6" s="1" t="s">
        <v>472</v>
      </c>
      <c r="D6" s="1" t="s">
        <v>483</v>
      </c>
      <c r="E6" t="s">
        <v>474</v>
      </c>
      <c r="F6" s="16"/>
      <c r="G6" s="1" t="s">
        <v>475</v>
      </c>
      <c r="H6" s="1" t="s">
        <v>476</v>
      </c>
      <c r="I6" s="1" t="s">
        <v>207</v>
      </c>
    </row>
    <row r="7" spans="1:9" ht="36" customHeight="1">
      <c r="A7" s="1" t="s">
        <v>484</v>
      </c>
      <c r="B7" s="1" t="s">
        <v>485</v>
      </c>
      <c r="C7" s="1" t="s">
        <v>472</v>
      </c>
      <c r="D7" s="1" t="s">
        <v>483</v>
      </c>
      <c r="E7" t="s">
        <v>474</v>
      </c>
      <c r="F7" s="16"/>
      <c r="G7" s="1" t="s">
        <v>486</v>
      </c>
      <c r="H7" s="1" t="s">
        <v>487</v>
      </c>
      <c r="I7" s="1" t="s">
        <v>207</v>
      </c>
    </row>
    <row r="8" spans="1:9" ht="36" customHeight="1">
      <c r="A8" s="1" t="s">
        <v>488</v>
      </c>
      <c r="B8" s="1" t="s">
        <v>489</v>
      </c>
      <c r="C8" s="1" t="s">
        <v>472</v>
      </c>
      <c r="D8" s="1" t="s">
        <v>483</v>
      </c>
      <c r="E8" t="s">
        <v>474</v>
      </c>
      <c r="F8" s="16"/>
      <c r="G8" s="1" t="s">
        <v>486</v>
      </c>
      <c r="H8" s="1" t="s">
        <v>487</v>
      </c>
      <c r="I8" s="1" t="s">
        <v>207</v>
      </c>
    </row>
    <row r="9" spans="1:9" ht="36" customHeight="1">
      <c r="A9" s="1" t="s">
        <v>490</v>
      </c>
      <c r="B9" s="1" t="s">
        <v>491</v>
      </c>
      <c r="C9" s="1" t="s">
        <v>472</v>
      </c>
      <c r="D9" s="1" t="s">
        <v>492</v>
      </c>
      <c r="E9" t="s">
        <v>474</v>
      </c>
      <c r="F9" s="16"/>
      <c r="G9" s="1" t="s">
        <v>475</v>
      </c>
      <c r="H9" s="1" t="s">
        <v>476</v>
      </c>
      <c r="I9" s="1" t="s">
        <v>207</v>
      </c>
    </row>
    <row r="10" spans="1:9" ht="36" customHeight="1">
      <c r="A10" s="1" t="s">
        <v>493</v>
      </c>
      <c r="B10" s="1" t="s">
        <v>494</v>
      </c>
      <c r="C10" s="1" t="s">
        <v>472</v>
      </c>
      <c r="D10" s="1" t="s">
        <v>492</v>
      </c>
      <c r="E10" t="s">
        <v>474</v>
      </c>
      <c r="F10" s="16"/>
      <c r="G10" s="1" t="s">
        <v>486</v>
      </c>
      <c r="H10" s="1" t="s">
        <v>487</v>
      </c>
      <c r="I10" s="1" t="s">
        <v>207</v>
      </c>
    </row>
    <row r="11" spans="1:9" ht="36" customHeight="1">
      <c r="A11" s="1" t="s">
        <v>495</v>
      </c>
      <c r="B11" s="1" t="s">
        <v>496</v>
      </c>
      <c r="C11" s="1" t="s">
        <v>472</v>
      </c>
      <c r="D11" s="1" t="s">
        <v>492</v>
      </c>
      <c r="E11" t="s">
        <v>474</v>
      </c>
      <c r="F11" s="16"/>
      <c r="G11" s="1" t="s">
        <v>486</v>
      </c>
      <c r="H11" s="1" t="s">
        <v>487</v>
      </c>
      <c r="I11" s="1" t="s">
        <v>207</v>
      </c>
    </row>
    <row r="12" spans="1:9" ht="36" customHeight="1">
      <c r="A12" s="1" t="s">
        <v>497</v>
      </c>
      <c r="B12" s="1" t="s">
        <v>498</v>
      </c>
      <c r="C12" s="1" t="s">
        <v>472</v>
      </c>
      <c r="D12" s="1" t="s">
        <v>499</v>
      </c>
      <c r="E12" t="s">
        <v>474</v>
      </c>
      <c r="F12" s="16"/>
      <c r="G12" s="1" t="s">
        <v>475</v>
      </c>
      <c r="H12" s="1" t="s">
        <v>476</v>
      </c>
      <c r="I12" s="1" t="s">
        <v>207</v>
      </c>
    </row>
    <row r="13" spans="1:9" ht="36" customHeight="1">
      <c r="A13" s="1" t="s">
        <v>500</v>
      </c>
      <c r="B13" s="1" t="s">
        <v>501</v>
      </c>
      <c r="C13" s="1" t="s">
        <v>472</v>
      </c>
      <c r="D13" s="1" t="s">
        <v>499</v>
      </c>
      <c r="E13" t="s">
        <v>474</v>
      </c>
      <c r="F13" s="16"/>
      <c r="G13" s="1" t="s">
        <v>486</v>
      </c>
      <c r="H13" s="1" t="s">
        <v>487</v>
      </c>
      <c r="I13" s="1" t="s">
        <v>207</v>
      </c>
    </row>
    <row r="14" spans="1:9" ht="36" customHeight="1">
      <c r="A14" s="1" t="s">
        <v>502</v>
      </c>
      <c r="B14" s="1" t="s">
        <v>503</v>
      </c>
      <c r="C14" s="1" t="s">
        <v>472</v>
      </c>
      <c r="D14" s="1" t="s">
        <v>499</v>
      </c>
      <c r="E14" t="s">
        <v>474</v>
      </c>
      <c r="F14" s="16"/>
      <c r="G14" s="1" t="s">
        <v>475</v>
      </c>
      <c r="H14" s="1" t="s">
        <v>476</v>
      </c>
      <c r="I14" s="1" t="s">
        <v>207</v>
      </c>
    </row>
    <row r="15" spans="1:9">
      <c r="A15" t="s">
        <v>504</v>
      </c>
      <c r="B15" t="s">
        <v>505</v>
      </c>
      <c r="C15" t="s">
        <v>506</v>
      </c>
      <c r="D15" t="s">
        <v>347</v>
      </c>
      <c r="E15" t="s">
        <v>507</v>
      </c>
      <c r="G15" t="s">
        <v>508</v>
      </c>
      <c r="H15" t="s">
        <v>509</v>
      </c>
      <c r="I15" t="s">
        <v>207</v>
      </c>
    </row>
    <row r="16" spans="1:9">
      <c r="A16" t="s">
        <v>510</v>
      </c>
      <c r="B16" t="s">
        <v>511</v>
      </c>
      <c r="C16" t="s">
        <v>506</v>
      </c>
      <c r="D16" t="s">
        <v>347</v>
      </c>
      <c r="E16" t="s">
        <v>507</v>
      </c>
      <c r="G16" t="s">
        <v>508</v>
      </c>
      <c r="H16" t="s">
        <v>509</v>
      </c>
      <c r="I16" t="s">
        <v>207</v>
      </c>
    </row>
    <row r="17" spans="1:9">
      <c r="A17" t="s">
        <v>512</v>
      </c>
      <c r="B17" t="s">
        <v>513</v>
      </c>
      <c r="C17" t="s">
        <v>506</v>
      </c>
      <c r="D17" t="s">
        <v>347</v>
      </c>
      <c r="E17" t="s">
        <v>507</v>
      </c>
      <c r="G17" t="s">
        <v>508</v>
      </c>
      <c r="H17" t="s">
        <v>509</v>
      </c>
      <c r="I17" t="s">
        <v>207</v>
      </c>
    </row>
    <row r="18" spans="1:9">
      <c r="A18" t="s">
        <v>514</v>
      </c>
      <c r="B18" t="s">
        <v>515</v>
      </c>
      <c r="C18" t="s">
        <v>506</v>
      </c>
      <c r="D18" t="s">
        <v>347</v>
      </c>
      <c r="E18" t="s">
        <v>507</v>
      </c>
      <c r="G18" t="s">
        <v>508</v>
      </c>
      <c r="H18" t="s">
        <v>509</v>
      </c>
      <c r="I18" t="s">
        <v>207</v>
      </c>
    </row>
    <row r="19" spans="1:9">
      <c r="A19" t="s">
        <v>516</v>
      </c>
      <c r="B19" t="s">
        <v>517</v>
      </c>
      <c r="C19" t="s">
        <v>506</v>
      </c>
      <c r="D19" t="s">
        <v>347</v>
      </c>
      <c r="E19" t="s">
        <v>507</v>
      </c>
      <c r="G19" t="s">
        <v>508</v>
      </c>
      <c r="H19" t="s">
        <v>509</v>
      </c>
      <c r="I19" t="s">
        <v>207</v>
      </c>
    </row>
    <row r="20" spans="1:9">
      <c r="A20" t="s">
        <v>518</v>
      </c>
      <c r="B20" t="s">
        <v>519</v>
      </c>
      <c r="C20" t="s">
        <v>506</v>
      </c>
      <c r="D20" t="s">
        <v>347</v>
      </c>
      <c r="E20" t="s">
        <v>507</v>
      </c>
      <c r="G20" t="s">
        <v>508</v>
      </c>
      <c r="H20" t="s">
        <v>509</v>
      </c>
      <c r="I20" t="s">
        <v>207</v>
      </c>
    </row>
    <row r="21" spans="1:9">
      <c r="A21" t="s">
        <v>520</v>
      </c>
      <c r="B21" t="s">
        <v>521</v>
      </c>
      <c r="C21" t="s">
        <v>506</v>
      </c>
      <c r="D21" t="s">
        <v>347</v>
      </c>
      <c r="E21" t="s">
        <v>522</v>
      </c>
      <c r="G21" t="s">
        <v>523</v>
      </c>
      <c r="H21" t="s">
        <v>524</v>
      </c>
      <c r="I21" t="s">
        <v>207</v>
      </c>
    </row>
    <row r="22" spans="1:9">
      <c r="A22" t="s">
        <v>388</v>
      </c>
      <c r="B22" t="s">
        <v>391</v>
      </c>
      <c r="C22" t="s">
        <v>506</v>
      </c>
      <c r="D22" t="s">
        <v>347</v>
      </c>
      <c r="E22" t="s">
        <v>522</v>
      </c>
      <c r="G22" t="s">
        <v>523</v>
      </c>
      <c r="H22" t="s">
        <v>524</v>
      </c>
      <c r="I22" t="s">
        <v>207</v>
      </c>
    </row>
    <row r="23" spans="1:9">
      <c r="A23" t="s">
        <v>404</v>
      </c>
      <c r="B23" t="s">
        <v>405</v>
      </c>
      <c r="C23" t="s">
        <v>506</v>
      </c>
      <c r="D23" t="s">
        <v>347</v>
      </c>
      <c r="E23" t="s">
        <v>525</v>
      </c>
      <c r="G23" t="s">
        <v>523</v>
      </c>
      <c r="H23" t="s">
        <v>524</v>
      </c>
      <c r="I23" t="s">
        <v>207</v>
      </c>
    </row>
    <row r="24" spans="1:9">
      <c r="A24" t="s">
        <v>409</v>
      </c>
      <c r="B24" t="s">
        <v>410</v>
      </c>
      <c r="C24" t="s">
        <v>506</v>
      </c>
      <c r="D24" t="s">
        <v>347</v>
      </c>
      <c r="E24" t="s">
        <v>525</v>
      </c>
      <c r="G24" t="s">
        <v>523</v>
      </c>
      <c r="H24" t="s">
        <v>524</v>
      </c>
      <c r="I24" t="s">
        <v>207</v>
      </c>
    </row>
    <row r="25" spans="1:9">
      <c r="A25" t="s">
        <v>414</v>
      </c>
      <c r="B25" t="s">
        <v>415</v>
      </c>
      <c r="C25" t="s">
        <v>506</v>
      </c>
      <c r="D25" t="s">
        <v>347</v>
      </c>
      <c r="E25" t="s">
        <v>507</v>
      </c>
      <c r="G25" t="s">
        <v>523</v>
      </c>
      <c r="H25" t="s">
        <v>524</v>
      </c>
      <c r="I25" t="s">
        <v>207</v>
      </c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2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7"/>
  <cols>
    <col min="1" max="1" width="18" customWidth="1"/>
    <col min="2" max="5" width="14" customWidth="1"/>
    <col min="6" max="6" width="20" customWidth="1"/>
    <col min="7" max="7" width="16" customWidth="1"/>
    <col min="8" max="8" width="24" customWidth="1"/>
  </cols>
  <sheetData>
    <row r="1" spans="1:8" ht="20" customHeight="1">
      <c r="A1" s="31" t="s">
        <v>526</v>
      </c>
      <c r="B1" s="24"/>
      <c r="C1" s="24"/>
      <c r="D1" s="24"/>
      <c r="E1" s="24"/>
      <c r="F1" s="24"/>
      <c r="G1" s="24"/>
      <c r="H1" s="24"/>
    </row>
    <row r="2" spans="1:8" ht="36" customHeight="1">
      <c r="A2" s="21" t="s">
        <v>527</v>
      </c>
      <c r="B2" s="21" t="s">
        <v>463</v>
      </c>
      <c r="C2" s="21" t="s">
        <v>528</v>
      </c>
      <c r="D2" s="21" t="s">
        <v>529</v>
      </c>
      <c r="E2" s="21" t="s">
        <v>530</v>
      </c>
      <c r="F2" s="21" t="s">
        <v>5</v>
      </c>
      <c r="G2" s="21" t="s">
        <v>531</v>
      </c>
      <c r="H2" s="21" t="s">
        <v>8</v>
      </c>
    </row>
    <row r="3" spans="1:8" ht="18" customHeight="1">
      <c r="A3" s="1" t="s">
        <v>346</v>
      </c>
      <c r="B3" s="1" t="s">
        <v>470</v>
      </c>
      <c r="C3" s="16">
        <v>30</v>
      </c>
      <c r="D3" s="16">
        <v>1</v>
      </c>
      <c r="E3" s="16">
        <v>3</v>
      </c>
      <c r="F3" s="1" t="s">
        <v>532</v>
      </c>
      <c r="G3" s="1" t="s">
        <v>533</v>
      </c>
      <c r="H3" s="1" t="s">
        <v>213</v>
      </c>
    </row>
    <row r="4" spans="1:8" ht="18" customHeight="1">
      <c r="A4" s="1" t="s">
        <v>346</v>
      </c>
      <c r="B4" s="1" t="s">
        <v>477</v>
      </c>
      <c r="C4" s="16">
        <v>27</v>
      </c>
      <c r="D4" s="16">
        <v>1</v>
      </c>
      <c r="E4" s="16">
        <v>3</v>
      </c>
      <c r="F4" s="1" t="s">
        <v>534</v>
      </c>
      <c r="G4" s="1" t="s">
        <v>533</v>
      </c>
      <c r="H4" s="1" t="s">
        <v>213</v>
      </c>
    </row>
    <row r="5" spans="1:8" ht="18" customHeight="1">
      <c r="A5" s="1" t="s">
        <v>346</v>
      </c>
      <c r="B5" s="1" t="s">
        <v>479</v>
      </c>
      <c r="C5" s="16">
        <v>18</v>
      </c>
      <c r="D5" s="16">
        <v>1</v>
      </c>
      <c r="E5" s="16">
        <v>2</v>
      </c>
      <c r="F5" s="1" t="s">
        <v>535</v>
      </c>
      <c r="G5" s="1" t="s">
        <v>533</v>
      </c>
      <c r="H5" s="1" t="s">
        <v>213</v>
      </c>
    </row>
    <row r="6" spans="1:8" ht="18" customHeight="1">
      <c r="A6" s="1" t="s">
        <v>346</v>
      </c>
      <c r="B6" s="1" t="s">
        <v>481</v>
      </c>
      <c r="C6" s="16">
        <v>10</v>
      </c>
      <c r="D6" s="16">
        <v>1</v>
      </c>
      <c r="E6" s="16">
        <v>2</v>
      </c>
      <c r="F6" s="1" t="s">
        <v>536</v>
      </c>
      <c r="G6" s="1" t="s">
        <v>533</v>
      </c>
      <c r="H6" s="1" t="s">
        <v>213</v>
      </c>
    </row>
    <row r="7" spans="1:8" ht="18" customHeight="1">
      <c r="A7" s="1" t="s">
        <v>346</v>
      </c>
      <c r="B7" s="1" t="s">
        <v>490</v>
      </c>
      <c r="C7" s="16">
        <v>8</v>
      </c>
      <c r="D7" s="16">
        <v>1</v>
      </c>
      <c r="E7" s="16">
        <v>1</v>
      </c>
      <c r="F7" s="1" t="s">
        <v>537</v>
      </c>
      <c r="G7" s="1" t="s">
        <v>533</v>
      </c>
      <c r="H7" s="1" t="s">
        <v>213</v>
      </c>
    </row>
    <row r="8" spans="1:8" ht="18" customHeight="1">
      <c r="A8" s="1" t="s">
        <v>346</v>
      </c>
      <c r="B8" s="1" t="s">
        <v>497</v>
      </c>
      <c r="C8" s="16">
        <v>4</v>
      </c>
      <c r="D8" s="16">
        <v>1</v>
      </c>
      <c r="E8" s="16">
        <v>1</v>
      </c>
      <c r="F8" s="1" t="s">
        <v>538</v>
      </c>
      <c r="G8" s="1" t="s">
        <v>533</v>
      </c>
      <c r="H8" s="1" t="s">
        <v>213</v>
      </c>
    </row>
    <row r="9" spans="1:8" ht="18" customHeight="1">
      <c r="A9" s="1" t="s">
        <v>346</v>
      </c>
      <c r="B9" s="1" t="s">
        <v>502</v>
      </c>
      <c r="C9" s="16">
        <v>3</v>
      </c>
      <c r="D9" s="16">
        <v>1</v>
      </c>
      <c r="E9" s="16">
        <v>1</v>
      </c>
      <c r="F9" s="1" t="s">
        <v>539</v>
      </c>
      <c r="G9" s="1" t="s">
        <v>533</v>
      </c>
      <c r="H9" s="1" t="s">
        <v>213</v>
      </c>
    </row>
    <row r="10" spans="1:8">
      <c r="A10" t="s">
        <v>346</v>
      </c>
      <c r="B10" t="s">
        <v>484</v>
      </c>
      <c r="C10">
        <v>2</v>
      </c>
      <c r="D10">
        <v>1</v>
      </c>
      <c r="E10">
        <v>1</v>
      </c>
      <c r="F10" t="s">
        <v>540</v>
      </c>
      <c r="G10" t="s">
        <v>533</v>
      </c>
      <c r="H10" t="s">
        <v>213</v>
      </c>
    </row>
    <row r="11" spans="1:8">
      <c r="A11" t="s">
        <v>346</v>
      </c>
      <c r="B11" t="s">
        <v>488</v>
      </c>
      <c r="C11">
        <v>2</v>
      </c>
      <c r="D11">
        <v>1</v>
      </c>
      <c r="E11">
        <v>1</v>
      </c>
      <c r="F11" t="s">
        <v>540</v>
      </c>
      <c r="G11" t="s">
        <v>533</v>
      </c>
      <c r="H11" t="s">
        <v>213</v>
      </c>
    </row>
    <row r="12" spans="1:8">
      <c r="A12" t="s">
        <v>346</v>
      </c>
      <c r="B12" t="s">
        <v>493</v>
      </c>
      <c r="C12">
        <v>2</v>
      </c>
      <c r="D12">
        <v>1</v>
      </c>
      <c r="E12">
        <v>1</v>
      </c>
      <c r="F12" t="s">
        <v>540</v>
      </c>
      <c r="G12" t="s">
        <v>533</v>
      </c>
      <c r="H12" t="s">
        <v>213</v>
      </c>
    </row>
    <row r="13" spans="1:8">
      <c r="A13" t="s">
        <v>346</v>
      </c>
      <c r="B13" t="s">
        <v>495</v>
      </c>
      <c r="C13">
        <v>2</v>
      </c>
      <c r="D13">
        <v>1</v>
      </c>
      <c r="E13">
        <v>1</v>
      </c>
      <c r="F13" t="s">
        <v>540</v>
      </c>
      <c r="G13" t="s">
        <v>533</v>
      </c>
      <c r="H13" t="s">
        <v>213</v>
      </c>
    </row>
    <row r="14" spans="1:8">
      <c r="A14" t="s">
        <v>346</v>
      </c>
      <c r="B14" t="s">
        <v>500</v>
      </c>
      <c r="C14">
        <v>2</v>
      </c>
      <c r="D14">
        <v>1</v>
      </c>
      <c r="E14">
        <v>1</v>
      </c>
      <c r="F14" t="s">
        <v>540</v>
      </c>
      <c r="G14" t="s">
        <v>533</v>
      </c>
      <c r="H14" t="s">
        <v>213</v>
      </c>
    </row>
    <row r="15" spans="1:8" ht="18" customHeight="1">
      <c r="A15" s="1" t="s">
        <v>382</v>
      </c>
      <c r="B15" s="1" t="s">
        <v>488</v>
      </c>
      <c r="C15" s="16">
        <v>30</v>
      </c>
      <c r="D15" s="16">
        <v>1</v>
      </c>
      <c r="E15" s="16">
        <v>3</v>
      </c>
      <c r="F15" s="1" t="s">
        <v>541</v>
      </c>
      <c r="G15" s="1" t="s">
        <v>533</v>
      </c>
      <c r="H15" s="1" t="s">
        <v>213</v>
      </c>
    </row>
    <row r="16" spans="1:8" ht="18" customHeight="1">
      <c r="A16" s="1" t="s">
        <v>382</v>
      </c>
      <c r="B16" s="1" t="s">
        <v>481</v>
      </c>
      <c r="C16" s="16">
        <v>25</v>
      </c>
      <c r="D16" s="16">
        <v>1</v>
      </c>
      <c r="E16" s="16">
        <v>3</v>
      </c>
      <c r="F16" s="1" t="s">
        <v>536</v>
      </c>
      <c r="G16" s="1" t="s">
        <v>533</v>
      </c>
      <c r="H16" s="1" t="s">
        <v>213</v>
      </c>
    </row>
    <row r="17" spans="1:8" ht="18" customHeight="1">
      <c r="A17" s="1" t="s">
        <v>382</v>
      </c>
      <c r="B17" s="1" t="s">
        <v>477</v>
      </c>
      <c r="C17" s="16">
        <v>18</v>
      </c>
      <c r="D17" s="16">
        <v>1</v>
      </c>
      <c r="E17" s="16">
        <v>2</v>
      </c>
      <c r="F17" s="1" t="s">
        <v>534</v>
      </c>
      <c r="G17" s="1" t="s">
        <v>533</v>
      </c>
      <c r="H17" s="1" t="s">
        <v>213</v>
      </c>
    </row>
    <row r="18" spans="1:8" ht="18" customHeight="1">
      <c r="A18" s="1" t="s">
        <v>382</v>
      </c>
      <c r="B18" s="1" t="s">
        <v>490</v>
      </c>
      <c r="C18" s="16">
        <v>10</v>
      </c>
      <c r="D18" s="16">
        <v>1</v>
      </c>
      <c r="E18" s="16">
        <v>2</v>
      </c>
      <c r="F18" s="1" t="s">
        <v>537</v>
      </c>
      <c r="G18" s="1" t="s">
        <v>533</v>
      </c>
      <c r="H18" s="1" t="s">
        <v>213</v>
      </c>
    </row>
    <row r="19" spans="1:8">
      <c r="A19" t="s">
        <v>382</v>
      </c>
      <c r="B19" t="s">
        <v>497</v>
      </c>
      <c r="C19">
        <v>8</v>
      </c>
      <c r="D19">
        <v>1</v>
      </c>
      <c r="E19">
        <v>1</v>
      </c>
      <c r="F19" t="s">
        <v>538</v>
      </c>
      <c r="G19" t="s">
        <v>533</v>
      </c>
      <c r="H19" t="s">
        <v>213</v>
      </c>
    </row>
    <row r="20" spans="1:8">
      <c r="A20" t="s">
        <v>382</v>
      </c>
      <c r="B20" t="s">
        <v>502</v>
      </c>
      <c r="C20">
        <v>5</v>
      </c>
      <c r="D20">
        <v>1</v>
      </c>
      <c r="E20">
        <v>1</v>
      </c>
      <c r="F20" t="s">
        <v>542</v>
      </c>
      <c r="G20" t="s">
        <v>533</v>
      </c>
      <c r="H20" t="s">
        <v>213</v>
      </c>
    </row>
    <row r="21" spans="1:8">
      <c r="A21" t="s">
        <v>382</v>
      </c>
      <c r="B21" t="s">
        <v>500</v>
      </c>
      <c r="C21">
        <v>4</v>
      </c>
      <c r="D21">
        <v>1</v>
      </c>
      <c r="E21">
        <v>1</v>
      </c>
      <c r="F21" t="s">
        <v>543</v>
      </c>
      <c r="G21" t="s">
        <v>533</v>
      </c>
      <c r="H21" t="s">
        <v>213</v>
      </c>
    </row>
    <row r="22" spans="1:8">
      <c r="A22" t="s">
        <v>382</v>
      </c>
      <c r="B22" t="s">
        <v>470</v>
      </c>
      <c r="C22">
        <v>2</v>
      </c>
      <c r="D22">
        <v>1</v>
      </c>
      <c r="E22">
        <v>1</v>
      </c>
      <c r="F22" t="s">
        <v>540</v>
      </c>
      <c r="G22" t="s">
        <v>533</v>
      </c>
      <c r="H22" t="s">
        <v>213</v>
      </c>
    </row>
    <row r="23" spans="1:8">
      <c r="A23" t="s">
        <v>382</v>
      </c>
      <c r="B23" t="s">
        <v>479</v>
      </c>
      <c r="C23">
        <v>2</v>
      </c>
      <c r="D23">
        <v>1</v>
      </c>
      <c r="E23">
        <v>1</v>
      </c>
      <c r="F23" t="s">
        <v>540</v>
      </c>
      <c r="G23" t="s">
        <v>533</v>
      </c>
      <c r="H23" t="s">
        <v>213</v>
      </c>
    </row>
    <row r="24" spans="1:8">
      <c r="A24" t="s">
        <v>382</v>
      </c>
      <c r="B24" t="s">
        <v>484</v>
      </c>
      <c r="C24">
        <v>2</v>
      </c>
      <c r="D24">
        <v>1</v>
      </c>
      <c r="E24">
        <v>1</v>
      </c>
      <c r="F24" t="s">
        <v>540</v>
      </c>
      <c r="G24" t="s">
        <v>533</v>
      </c>
      <c r="H24" t="s">
        <v>213</v>
      </c>
    </row>
    <row r="25" spans="1:8">
      <c r="A25" t="s">
        <v>382</v>
      </c>
      <c r="B25" t="s">
        <v>493</v>
      </c>
      <c r="C25">
        <v>2</v>
      </c>
      <c r="D25">
        <v>1</v>
      </c>
      <c r="E25">
        <v>1</v>
      </c>
      <c r="F25" t="s">
        <v>540</v>
      </c>
      <c r="G25" t="s">
        <v>533</v>
      </c>
      <c r="H25" t="s">
        <v>213</v>
      </c>
    </row>
    <row r="26" spans="1:8">
      <c r="A26" t="s">
        <v>382</v>
      </c>
      <c r="B26" t="s">
        <v>495</v>
      </c>
      <c r="C26">
        <v>2</v>
      </c>
      <c r="D26">
        <v>1</v>
      </c>
      <c r="E26">
        <v>1</v>
      </c>
      <c r="F26" t="s">
        <v>540</v>
      </c>
      <c r="G26" t="s">
        <v>533</v>
      </c>
      <c r="H26" t="s">
        <v>213</v>
      </c>
    </row>
    <row r="27" spans="1:8">
      <c r="A27" t="s">
        <v>397</v>
      </c>
      <c r="B27" t="s">
        <v>493</v>
      </c>
      <c r="C27">
        <v>30</v>
      </c>
      <c r="D27">
        <v>1</v>
      </c>
      <c r="E27">
        <v>3</v>
      </c>
      <c r="F27" t="s">
        <v>544</v>
      </c>
      <c r="G27" t="s">
        <v>533</v>
      </c>
      <c r="H27" t="s">
        <v>213</v>
      </c>
    </row>
    <row r="28" spans="1:8">
      <c r="A28" t="s">
        <v>397</v>
      </c>
      <c r="B28" t="s">
        <v>481</v>
      </c>
      <c r="C28">
        <v>25</v>
      </c>
      <c r="D28">
        <v>1</v>
      </c>
      <c r="E28">
        <v>3</v>
      </c>
      <c r="F28" t="s">
        <v>536</v>
      </c>
      <c r="G28" t="s">
        <v>533</v>
      </c>
      <c r="H28" t="s">
        <v>213</v>
      </c>
    </row>
    <row r="29" spans="1:8">
      <c r="A29" t="s">
        <v>397</v>
      </c>
      <c r="B29" t="s">
        <v>500</v>
      </c>
      <c r="C29">
        <v>18</v>
      </c>
      <c r="D29">
        <v>1</v>
      </c>
      <c r="E29">
        <v>2</v>
      </c>
      <c r="F29" t="s">
        <v>543</v>
      </c>
      <c r="G29" t="s">
        <v>533</v>
      </c>
      <c r="H29" t="s">
        <v>213</v>
      </c>
    </row>
    <row r="30" spans="1:8">
      <c r="A30" t="s">
        <v>397</v>
      </c>
      <c r="B30" t="s">
        <v>490</v>
      </c>
      <c r="C30">
        <v>10</v>
      </c>
      <c r="D30">
        <v>1</v>
      </c>
      <c r="E30">
        <v>2</v>
      </c>
      <c r="F30" t="s">
        <v>537</v>
      </c>
      <c r="G30" t="s">
        <v>533</v>
      </c>
      <c r="H30" t="s">
        <v>213</v>
      </c>
    </row>
    <row r="31" spans="1:8">
      <c r="A31" t="s">
        <v>397</v>
      </c>
      <c r="B31" t="s">
        <v>497</v>
      </c>
      <c r="C31">
        <v>8</v>
      </c>
      <c r="D31">
        <v>1</v>
      </c>
      <c r="E31">
        <v>1</v>
      </c>
      <c r="F31" t="s">
        <v>538</v>
      </c>
      <c r="G31" t="s">
        <v>533</v>
      </c>
      <c r="H31" t="s">
        <v>213</v>
      </c>
    </row>
    <row r="32" spans="1:8">
      <c r="A32" t="s">
        <v>397</v>
      </c>
      <c r="B32" t="s">
        <v>502</v>
      </c>
      <c r="C32">
        <v>5</v>
      </c>
      <c r="D32">
        <v>1</v>
      </c>
      <c r="E32">
        <v>1</v>
      </c>
      <c r="F32" t="s">
        <v>542</v>
      </c>
      <c r="G32" t="s">
        <v>533</v>
      </c>
      <c r="H32" t="s">
        <v>213</v>
      </c>
    </row>
    <row r="33" spans="1:8">
      <c r="A33" t="s">
        <v>397</v>
      </c>
      <c r="B33" t="s">
        <v>488</v>
      </c>
      <c r="C33">
        <v>4</v>
      </c>
      <c r="D33">
        <v>1</v>
      </c>
      <c r="E33">
        <v>1</v>
      </c>
      <c r="F33" t="s">
        <v>541</v>
      </c>
      <c r="G33" t="s">
        <v>533</v>
      </c>
      <c r="H33" t="s">
        <v>213</v>
      </c>
    </row>
    <row r="34" spans="1:8">
      <c r="A34" t="s">
        <v>397</v>
      </c>
      <c r="B34" t="s">
        <v>470</v>
      </c>
      <c r="C34">
        <v>2</v>
      </c>
      <c r="D34">
        <v>1</v>
      </c>
      <c r="E34">
        <v>1</v>
      </c>
      <c r="F34" t="s">
        <v>540</v>
      </c>
      <c r="G34" t="s">
        <v>533</v>
      </c>
      <c r="H34" t="s">
        <v>213</v>
      </c>
    </row>
    <row r="35" spans="1:8">
      <c r="A35" t="s">
        <v>397</v>
      </c>
      <c r="B35" t="s">
        <v>477</v>
      </c>
      <c r="C35">
        <v>2</v>
      </c>
      <c r="D35">
        <v>1</v>
      </c>
      <c r="E35">
        <v>1</v>
      </c>
      <c r="F35" t="s">
        <v>540</v>
      </c>
      <c r="G35" t="s">
        <v>533</v>
      </c>
      <c r="H35" t="s">
        <v>213</v>
      </c>
    </row>
    <row r="36" spans="1:8">
      <c r="A36" t="s">
        <v>397</v>
      </c>
      <c r="B36" t="s">
        <v>479</v>
      </c>
      <c r="C36">
        <v>2</v>
      </c>
      <c r="D36">
        <v>1</v>
      </c>
      <c r="E36">
        <v>1</v>
      </c>
      <c r="F36" t="s">
        <v>540</v>
      </c>
      <c r="G36" t="s">
        <v>533</v>
      </c>
      <c r="H36" t="s">
        <v>213</v>
      </c>
    </row>
    <row r="37" spans="1:8">
      <c r="A37" t="s">
        <v>397</v>
      </c>
      <c r="B37" t="s">
        <v>484</v>
      </c>
      <c r="C37">
        <v>2</v>
      </c>
      <c r="D37">
        <v>1</v>
      </c>
      <c r="E37">
        <v>1</v>
      </c>
      <c r="F37" t="s">
        <v>540</v>
      </c>
      <c r="G37" t="s">
        <v>533</v>
      </c>
      <c r="H37" t="s">
        <v>213</v>
      </c>
    </row>
    <row r="38" spans="1:8">
      <c r="A38" t="s">
        <v>397</v>
      </c>
      <c r="B38" t="s">
        <v>495</v>
      </c>
      <c r="C38">
        <v>2</v>
      </c>
      <c r="D38">
        <v>1</v>
      </c>
      <c r="E38">
        <v>1</v>
      </c>
      <c r="F38" t="s">
        <v>540</v>
      </c>
      <c r="G38" t="s">
        <v>533</v>
      </c>
      <c r="H38" t="s">
        <v>213</v>
      </c>
    </row>
    <row r="39" spans="1:8">
      <c r="A39" t="s">
        <v>406</v>
      </c>
      <c r="B39" t="s">
        <v>484</v>
      </c>
      <c r="C39">
        <v>30</v>
      </c>
      <c r="D39">
        <v>1</v>
      </c>
      <c r="E39">
        <v>3</v>
      </c>
      <c r="F39" t="s">
        <v>545</v>
      </c>
      <c r="G39" t="s">
        <v>533</v>
      </c>
      <c r="H39" t="s">
        <v>213</v>
      </c>
    </row>
    <row r="40" spans="1:8">
      <c r="A40" t="s">
        <v>406</v>
      </c>
      <c r="B40" t="s">
        <v>495</v>
      </c>
      <c r="C40">
        <v>25</v>
      </c>
      <c r="D40">
        <v>1</v>
      </c>
      <c r="E40">
        <v>3</v>
      </c>
      <c r="F40" t="s">
        <v>546</v>
      </c>
      <c r="G40" t="s">
        <v>533</v>
      </c>
      <c r="H40" t="s">
        <v>213</v>
      </c>
    </row>
    <row r="41" spans="1:8">
      <c r="A41" t="s">
        <v>406</v>
      </c>
      <c r="B41" t="s">
        <v>497</v>
      </c>
      <c r="C41">
        <v>18</v>
      </c>
      <c r="D41">
        <v>1</v>
      </c>
      <c r="E41">
        <v>2</v>
      </c>
      <c r="F41" t="s">
        <v>538</v>
      </c>
      <c r="G41" t="s">
        <v>533</v>
      </c>
      <c r="H41" t="s">
        <v>213</v>
      </c>
    </row>
    <row r="42" spans="1:8">
      <c r="A42" t="s">
        <v>406</v>
      </c>
      <c r="B42" t="s">
        <v>479</v>
      </c>
      <c r="C42">
        <v>10</v>
      </c>
      <c r="D42">
        <v>1</v>
      </c>
      <c r="E42">
        <v>2</v>
      </c>
      <c r="F42" t="s">
        <v>535</v>
      </c>
      <c r="G42" t="s">
        <v>533</v>
      </c>
      <c r="H42" t="s">
        <v>213</v>
      </c>
    </row>
    <row r="43" spans="1:8">
      <c r="A43" t="s">
        <v>406</v>
      </c>
      <c r="B43" t="s">
        <v>500</v>
      </c>
      <c r="C43">
        <v>8</v>
      </c>
      <c r="D43">
        <v>1</v>
      </c>
      <c r="E43">
        <v>1</v>
      </c>
      <c r="F43" t="s">
        <v>543</v>
      </c>
      <c r="G43" t="s">
        <v>533</v>
      </c>
      <c r="H43" t="s">
        <v>213</v>
      </c>
    </row>
    <row r="44" spans="1:8">
      <c r="A44" t="s">
        <v>406</v>
      </c>
      <c r="B44" t="s">
        <v>502</v>
      </c>
      <c r="C44">
        <v>5</v>
      </c>
      <c r="D44">
        <v>1</v>
      </c>
      <c r="E44">
        <v>1</v>
      </c>
      <c r="F44" t="s">
        <v>542</v>
      </c>
      <c r="G44" t="s">
        <v>533</v>
      </c>
      <c r="H44" t="s">
        <v>213</v>
      </c>
    </row>
    <row r="45" spans="1:8">
      <c r="A45" t="s">
        <v>406</v>
      </c>
      <c r="B45" t="s">
        <v>490</v>
      </c>
      <c r="C45">
        <v>4</v>
      </c>
      <c r="D45">
        <v>1</v>
      </c>
      <c r="E45">
        <v>1</v>
      </c>
      <c r="F45" t="s">
        <v>537</v>
      </c>
      <c r="G45" t="s">
        <v>533</v>
      </c>
      <c r="H45" t="s">
        <v>213</v>
      </c>
    </row>
    <row r="46" spans="1:8">
      <c r="A46" t="s">
        <v>406</v>
      </c>
      <c r="B46" t="s">
        <v>470</v>
      </c>
      <c r="C46">
        <v>2</v>
      </c>
      <c r="D46">
        <v>1</v>
      </c>
      <c r="E46">
        <v>1</v>
      </c>
      <c r="F46" t="s">
        <v>540</v>
      </c>
      <c r="G46" t="s">
        <v>533</v>
      </c>
      <c r="H46" t="s">
        <v>213</v>
      </c>
    </row>
    <row r="47" spans="1:8">
      <c r="A47" t="s">
        <v>406</v>
      </c>
      <c r="B47" t="s">
        <v>477</v>
      </c>
      <c r="C47">
        <v>2</v>
      </c>
      <c r="D47">
        <v>1</v>
      </c>
      <c r="E47">
        <v>1</v>
      </c>
      <c r="F47" t="s">
        <v>540</v>
      </c>
      <c r="G47" t="s">
        <v>533</v>
      </c>
      <c r="H47" t="s">
        <v>213</v>
      </c>
    </row>
    <row r="48" spans="1:8">
      <c r="A48" t="s">
        <v>406</v>
      </c>
      <c r="B48" t="s">
        <v>481</v>
      </c>
      <c r="C48">
        <v>2</v>
      </c>
      <c r="D48">
        <v>1</v>
      </c>
      <c r="E48">
        <v>1</v>
      </c>
      <c r="F48" t="s">
        <v>540</v>
      </c>
      <c r="G48" t="s">
        <v>533</v>
      </c>
      <c r="H48" t="s">
        <v>213</v>
      </c>
    </row>
    <row r="49" spans="1:8">
      <c r="A49" t="s">
        <v>406</v>
      </c>
      <c r="B49" t="s">
        <v>488</v>
      </c>
      <c r="C49">
        <v>2</v>
      </c>
      <c r="D49">
        <v>1</v>
      </c>
      <c r="E49">
        <v>1</v>
      </c>
      <c r="F49" t="s">
        <v>540</v>
      </c>
      <c r="G49" t="s">
        <v>533</v>
      </c>
      <c r="H49" t="s">
        <v>213</v>
      </c>
    </row>
    <row r="50" spans="1:8">
      <c r="A50" t="s">
        <v>406</v>
      </c>
      <c r="B50" t="s">
        <v>493</v>
      </c>
      <c r="C50">
        <v>2</v>
      </c>
      <c r="D50">
        <v>1</v>
      </c>
      <c r="E50">
        <v>1</v>
      </c>
      <c r="F50" t="s">
        <v>540</v>
      </c>
      <c r="G50" t="s">
        <v>533</v>
      </c>
      <c r="H50" t="s">
        <v>213</v>
      </c>
    </row>
    <row r="51" spans="1:8">
      <c r="A51" t="s">
        <v>411</v>
      </c>
      <c r="B51" t="s">
        <v>500</v>
      </c>
      <c r="C51">
        <v>30</v>
      </c>
      <c r="D51">
        <v>1</v>
      </c>
      <c r="E51">
        <v>3</v>
      </c>
      <c r="F51" t="s">
        <v>543</v>
      </c>
      <c r="G51" t="s">
        <v>533</v>
      </c>
      <c r="H51" t="s">
        <v>213</v>
      </c>
    </row>
    <row r="52" spans="1:8">
      <c r="A52" t="s">
        <v>411</v>
      </c>
      <c r="B52" t="s">
        <v>497</v>
      </c>
      <c r="C52">
        <v>25</v>
      </c>
      <c r="D52">
        <v>1</v>
      </c>
      <c r="E52">
        <v>3</v>
      </c>
      <c r="F52" t="s">
        <v>538</v>
      </c>
      <c r="G52" t="s">
        <v>533</v>
      </c>
      <c r="H52" t="s">
        <v>213</v>
      </c>
    </row>
    <row r="53" spans="1:8">
      <c r="A53" t="s">
        <v>411</v>
      </c>
      <c r="B53" t="s">
        <v>502</v>
      </c>
      <c r="C53">
        <v>18</v>
      </c>
      <c r="D53">
        <v>1</v>
      </c>
      <c r="E53">
        <v>2</v>
      </c>
      <c r="F53" t="s">
        <v>542</v>
      </c>
      <c r="G53" t="s">
        <v>533</v>
      </c>
      <c r="H53" t="s">
        <v>213</v>
      </c>
    </row>
    <row r="54" spans="1:8">
      <c r="A54" t="s">
        <v>411</v>
      </c>
      <c r="B54" t="s">
        <v>493</v>
      </c>
      <c r="C54">
        <v>10</v>
      </c>
      <c r="D54">
        <v>1</v>
      </c>
      <c r="E54">
        <v>2</v>
      </c>
      <c r="F54" t="s">
        <v>544</v>
      </c>
      <c r="G54" t="s">
        <v>533</v>
      </c>
      <c r="H54" t="s">
        <v>213</v>
      </c>
    </row>
    <row r="55" spans="1:8">
      <c r="A55" t="s">
        <v>411</v>
      </c>
      <c r="B55" t="s">
        <v>490</v>
      </c>
      <c r="C55">
        <v>8</v>
      </c>
      <c r="D55">
        <v>1</v>
      </c>
      <c r="E55">
        <v>1</v>
      </c>
      <c r="F55" t="s">
        <v>537</v>
      </c>
      <c r="G55" t="s">
        <v>533</v>
      </c>
      <c r="H55" t="s">
        <v>213</v>
      </c>
    </row>
    <row r="56" spans="1:8">
      <c r="A56" t="s">
        <v>411</v>
      </c>
      <c r="B56" t="s">
        <v>484</v>
      </c>
      <c r="C56">
        <v>5</v>
      </c>
      <c r="D56">
        <v>1</v>
      </c>
      <c r="E56">
        <v>1</v>
      </c>
      <c r="F56" t="s">
        <v>545</v>
      </c>
      <c r="G56" t="s">
        <v>533</v>
      </c>
      <c r="H56" t="s">
        <v>213</v>
      </c>
    </row>
    <row r="57" spans="1:8">
      <c r="A57" t="s">
        <v>411</v>
      </c>
      <c r="B57" t="s">
        <v>495</v>
      </c>
      <c r="C57">
        <v>4</v>
      </c>
      <c r="D57">
        <v>1</v>
      </c>
      <c r="E57">
        <v>1</v>
      </c>
      <c r="F57" t="s">
        <v>546</v>
      </c>
      <c r="G57" t="s">
        <v>533</v>
      </c>
      <c r="H57" t="s">
        <v>213</v>
      </c>
    </row>
    <row r="58" spans="1:8">
      <c r="A58" t="s">
        <v>411</v>
      </c>
      <c r="B58" t="s">
        <v>470</v>
      </c>
      <c r="C58">
        <v>2</v>
      </c>
      <c r="D58">
        <v>1</v>
      </c>
      <c r="E58">
        <v>1</v>
      </c>
      <c r="F58" t="s">
        <v>540</v>
      </c>
      <c r="G58" t="s">
        <v>533</v>
      </c>
      <c r="H58" t="s">
        <v>213</v>
      </c>
    </row>
    <row r="59" spans="1:8">
      <c r="A59" t="s">
        <v>411</v>
      </c>
      <c r="B59" t="s">
        <v>477</v>
      </c>
      <c r="C59">
        <v>2</v>
      </c>
      <c r="D59">
        <v>1</v>
      </c>
      <c r="E59">
        <v>1</v>
      </c>
      <c r="F59" t="s">
        <v>540</v>
      </c>
      <c r="G59" t="s">
        <v>533</v>
      </c>
      <c r="H59" t="s">
        <v>213</v>
      </c>
    </row>
    <row r="60" spans="1:8">
      <c r="A60" t="s">
        <v>411</v>
      </c>
      <c r="B60" t="s">
        <v>479</v>
      </c>
      <c r="C60">
        <v>2</v>
      </c>
      <c r="D60">
        <v>1</v>
      </c>
      <c r="E60">
        <v>1</v>
      </c>
      <c r="F60" t="s">
        <v>540</v>
      </c>
      <c r="G60" t="s">
        <v>533</v>
      </c>
      <c r="H60" t="s">
        <v>213</v>
      </c>
    </row>
    <row r="61" spans="1:8">
      <c r="A61" t="s">
        <v>411</v>
      </c>
      <c r="B61" t="s">
        <v>481</v>
      </c>
      <c r="C61">
        <v>2</v>
      </c>
      <c r="D61">
        <v>1</v>
      </c>
      <c r="E61">
        <v>1</v>
      </c>
      <c r="F61" t="s">
        <v>540</v>
      </c>
      <c r="G61" t="s">
        <v>533</v>
      </c>
      <c r="H61" t="s">
        <v>213</v>
      </c>
    </row>
    <row r="62" spans="1:8">
      <c r="A62" t="s">
        <v>411</v>
      </c>
      <c r="B62" t="s">
        <v>488</v>
      </c>
      <c r="C62">
        <v>2</v>
      </c>
      <c r="D62">
        <v>1</v>
      </c>
      <c r="E62">
        <v>1</v>
      </c>
      <c r="F62" t="s">
        <v>540</v>
      </c>
      <c r="G62" t="s">
        <v>533</v>
      </c>
      <c r="H62" t="s">
        <v>213</v>
      </c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3"/>
  <sheetViews>
    <sheetView zoomScale="150" workbookViewId="0">
      <pane ySplit="2" topLeftCell="A8" activePane="bottomLeft" state="frozen"/>
      <selection pane="bottomLeft" activeCell="H24" sqref="H24:H25"/>
    </sheetView>
  </sheetViews>
  <sheetFormatPr baseColWidth="10" defaultColWidth="8.83203125" defaultRowHeight="17"/>
  <cols>
    <col min="1" max="1" width="14" customWidth="1"/>
    <col min="2" max="2" width="32" customWidth="1"/>
    <col min="3" max="3" width="12" customWidth="1"/>
    <col min="4" max="4" width="10" customWidth="1"/>
    <col min="5" max="5" width="24" customWidth="1"/>
    <col min="6" max="7" width="16" customWidth="1"/>
    <col min="8" max="8" width="28" customWidth="1"/>
  </cols>
  <sheetData>
    <row r="1" spans="1:8" ht="20" customHeight="1">
      <c r="A1" s="23" t="s">
        <v>0</v>
      </c>
      <c r="B1" s="24"/>
      <c r="C1" s="24"/>
      <c r="D1" s="24"/>
      <c r="E1" s="24"/>
      <c r="F1" s="24"/>
      <c r="G1" s="24"/>
      <c r="H1" s="24"/>
    </row>
    <row r="2" spans="1:8" ht="18" customHeight="1">
      <c r="A2" s="22" t="s">
        <v>1</v>
      </c>
      <c r="B2" s="22" t="s">
        <v>2</v>
      </c>
      <c r="C2" s="22" t="s">
        <v>3</v>
      </c>
      <c r="D2" s="22" t="s">
        <v>4</v>
      </c>
      <c r="E2" s="22" t="s">
        <v>5</v>
      </c>
      <c r="F2" s="22" t="s">
        <v>6</v>
      </c>
      <c r="G2" s="22" t="s">
        <v>7</v>
      </c>
      <c r="H2" s="22" t="s">
        <v>8</v>
      </c>
    </row>
    <row r="3" spans="1:8" ht="18" customHeight="1">
      <c r="A3" s="1" t="s">
        <v>9</v>
      </c>
      <c r="B3" s="1" t="s">
        <v>10</v>
      </c>
      <c r="C3" s="16">
        <v>43450</v>
      </c>
      <c r="D3" s="1" t="s">
        <v>11</v>
      </c>
      <c r="E3" s="1" t="s">
        <v>12</v>
      </c>
      <c r="F3" s="1" t="s">
        <v>13</v>
      </c>
      <c r="G3" s="1" t="s">
        <v>14</v>
      </c>
      <c r="H3" s="1" t="s">
        <v>15</v>
      </c>
    </row>
    <row r="4" spans="1:8" ht="18" customHeight="1">
      <c r="A4" s="1" t="s">
        <v>9</v>
      </c>
      <c r="B4" s="1" t="s">
        <v>16</v>
      </c>
      <c r="C4" s="16" t="s">
        <v>17</v>
      </c>
      <c r="D4" s="1" t="s">
        <v>18</v>
      </c>
      <c r="E4" s="1" t="s">
        <v>19</v>
      </c>
      <c r="F4" s="1" t="s">
        <v>20</v>
      </c>
      <c r="G4" s="1" t="s">
        <v>21</v>
      </c>
      <c r="H4" s="1" t="s">
        <v>15</v>
      </c>
    </row>
    <row r="5" spans="1:8" ht="18" customHeight="1">
      <c r="A5" s="1" t="s">
        <v>22</v>
      </c>
      <c r="B5" s="1" t="s">
        <v>23</v>
      </c>
      <c r="C5" s="16">
        <v>2</v>
      </c>
      <c r="D5" s="1" t="s">
        <v>24</v>
      </c>
      <c r="E5" s="1" t="s">
        <v>25</v>
      </c>
      <c r="F5" s="1" t="s">
        <v>26</v>
      </c>
      <c r="G5" s="1" t="s">
        <v>27</v>
      </c>
      <c r="H5" s="1" t="s">
        <v>15</v>
      </c>
    </row>
    <row r="6" spans="1:8" ht="18" customHeight="1">
      <c r="A6" s="1" t="s">
        <v>22</v>
      </c>
      <c r="B6" s="1" t="s">
        <v>28</v>
      </c>
      <c r="C6" s="16">
        <v>3</v>
      </c>
      <c r="D6" s="1" t="s">
        <v>24</v>
      </c>
      <c r="E6" s="1" t="s">
        <v>29</v>
      </c>
      <c r="F6" s="1" t="s">
        <v>30</v>
      </c>
      <c r="G6" s="1" t="s">
        <v>31</v>
      </c>
      <c r="H6" s="1" t="s">
        <v>15</v>
      </c>
    </row>
    <row r="7" spans="1:8" ht="18" customHeight="1">
      <c r="A7" s="1" t="s">
        <v>22</v>
      </c>
      <c r="B7" s="1" t="s">
        <v>32</v>
      </c>
      <c r="C7" s="16">
        <v>4</v>
      </c>
      <c r="D7" s="1" t="s">
        <v>24</v>
      </c>
      <c r="E7" s="1" t="s">
        <v>33</v>
      </c>
      <c r="F7" s="1" t="s">
        <v>34</v>
      </c>
      <c r="G7" s="1" t="s">
        <v>35</v>
      </c>
      <c r="H7" s="1" t="s">
        <v>15</v>
      </c>
    </row>
    <row r="8" spans="1:8" ht="18" customHeight="1">
      <c r="A8" s="1" t="s">
        <v>22</v>
      </c>
      <c r="B8" s="1" t="s">
        <v>36</v>
      </c>
      <c r="C8" s="16">
        <v>5</v>
      </c>
      <c r="D8" s="1" t="s">
        <v>24</v>
      </c>
      <c r="E8" s="1" t="s">
        <v>37</v>
      </c>
      <c r="F8" s="1" t="s">
        <v>34</v>
      </c>
      <c r="G8" s="1" t="s">
        <v>35</v>
      </c>
      <c r="H8" s="1" t="s">
        <v>15</v>
      </c>
    </row>
    <row r="9" spans="1:8" ht="18" customHeight="1">
      <c r="A9" s="1" t="s">
        <v>38</v>
      </c>
      <c r="B9" s="1" t="s">
        <v>39</v>
      </c>
      <c r="C9" s="16">
        <v>3</v>
      </c>
      <c r="D9" s="1" t="s">
        <v>24</v>
      </c>
      <c r="E9" s="1" t="s">
        <v>40</v>
      </c>
      <c r="F9" s="1" t="s">
        <v>41</v>
      </c>
      <c r="G9" s="1" t="s">
        <v>42</v>
      </c>
      <c r="H9" s="1" t="s">
        <v>15</v>
      </c>
    </row>
    <row r="10" spans="1:8" ht="18" customHeight="1">
      <c r="A10" s="1" t="s">
        <v>43</v>
      </c>
      <c r="B10" s="1" t="s">
        <v>44</v>
      </c>
      <c r="C10" s="16">
        <v>200</v>
      </c>
      <c r="D10" s="1" t="s">
        <v>45</v>
      </c>
      <c r="E10" s="1" t="s">
        <v>46</v>
      </c>
      <c r="F10" s="1" t="s">
        <v>47</v>
      </c>
      <c r="G10" s="1" t="s">
        <v>48</v>
      </c>
      <c r="H10" s="1" t="s">
        <v>49</v>
      </c>
    </row>
    <row r="11" spans="1:8">
      <c r="A11" t="s">
        <v>50</v>
      </c>
      <c r="B11" t="s">
        <v>51</v>
      </c>
      <c r="C11">
        <v>20</v>
      </c>
      <c r="D11" t="s">
        <v>11</v>
      </c>
      <c r="E11" t="s">
        <v>52</v>
      </c>
      <c r="F11" t="s">
        <v>53</v>
      </c>
      <c r="G11" t="s">
        <v>54</v>
      </c>
      <c r="H11" t="s">
        <v>15</v>
      </c>
    </row>
    <row r="12" spans="1:8">
      <c r="A12" t="s">
        <v>50</v>
      </c>
      <c r="B12" t="s">
        <v>55</v>
      </c>
      <c r="C12">
        <v>30</v>
      </c>
      <c r="D12" t="s">
        <v>11</v>
      </c>
      <c r="E12" t="s">
        <v>56</v>
      </c>
      <c r="F12" t="s">
        <v>53</v>
      </c>
      <c r="G12" t="s">
        <v>54</v>
      </c>
      <c r="H12" t="s">
        <v>15</v>
      </c>
    </row>
    <row r="13" spans="1:8">
      <c r="A13" t="s">
        <v>50</v>
      </c>
      <c r="B13" t="s">
        <v>57</v>
      </c>
      <c r="C13">
        <v>20</v>
      </c>
      <c r="D13" t="s">
        <v>45</v>
      </c>
      <c r="E13" t="s">
        <v>58</v>
      </c>
      <c r="F13" t="s">
        <v>59</v>
      </c>
      <c r="G13" t="s">
        <v>60</v>
      </c>
      <c r="H13" t="s">
        <v>15</v>
      </c>
    </row>
    <row r="14" spans="1:8">
      <c r="A14" t="s">
        <v>50</v>
      </c>
      <c r="B14" t="s">
        <v>61</v>
      </c>
      <c r="C14">
        <v>40</v>
      </c>
      <c r="D14" t="s">
        <v>45</v>
      </c>
      <c r="E14" t="s">
        <v>62</v>
      </c>
      <c r="F14" t="s">
        <v>59</v>
      </c>
      <c r="G14" t="s">
        <v>60</v>
      </c>
      <c r="H14" t="s">
        <v>15</v>
      </c>
    </row>
    <row r="15" spans="1:8">
      <c r="A15" t="s">
        <v>50</v>
      </c>
      <c r="B15" t="s">
        <v>63</v>
      </c>
      <c r="C15">
        <v>1</v>
      </c>
      <c r="D15" t="s">
        <v>64</v>
      </c>
      <c r="E15" t="s">
        <v>65</v>
      </c>
      <c r="F15" t="s">
        <v>66</v>
      </c>
      <c r="G15" t="s">
        <v>67</v>
      </c>
      <c r="H15" t="s">
        <v>15</v>
      </c>
    </row>
    <row r="16" spans="1:8">
      <c r="A16" t="s">
        <v>50</v>
      </c>
      <c r="B16" t="s">
        <v>68</v>
      </c>
      <c r="C16">
        <v>5</v>
      </c>
      <c r="D16" t="s">
        <v>64</v>
      </c>
      <c r="E16" t="s">
        <v>69</v>
      </c>
      <c r="F16" t="s">
        <v>70</v>
      </c>
      <c r="G16" t="s">
        <v>71</v>
      </c>
      <c r="H16" t="s">
        <v>15</v>
      </c>
    </row>
    <row r="17" spans="1:8">
      <c r="A17" t="s">
        <v>50</v>
      </c>
      <c r="B17" t="s">
        <v>72</v>
      </c>
      <c r="C17">
        <v>10</v>
      </c>
      <c r="D17" t="s">
        <v>11</v>
      </c>
      <c r="E17" t="s">
        <v>73</v>
      </c>
      <c r="F17" t="s">
        <v>70</v>
      </c>
      <c r="G17" t="s">
        <v>71</v>
      </c>
      <c r="H17" t="s">
        <v>15</v>
      </c>
    </row>
    <row r="18" spans="1:8">
      <c r="A18" t="s">
        <v>50</v>
      </c>
      <c r="B18" t="s">
        <v>74</v>
      </c>
      <c r="C18">
        <v>5</v>
      </c>
      <c r="D18" t="s">
        <v>45</v>
      </c>
      <c r="E18" t="s">
        <v>75</v>
      </c>
      <c r="F18" t="s">
        <v>70</v>
      </c>
      <c r="G18" t="s">
        <v>71</v>
      </c>
      <c r="H18" t="s">
        <v>15</v>
      </c>
    </row>
    <row r="19" spans="1:8">
      <c r="A19" t="s">
        <v>50</v>
      </c>
      <c r="B19" t="s">
        <v>76</v>
      </c>
      <c r="C19">
        <v>10</v>
      </c>
      <c r="D19" t="s">
        <v>45</v>
      </c>
      <c r="E19" t="s">
        <v>77</v>
      </c>
      <c r="F19" t="s">
        <v>70</v>
      </c>
      <c r="G19" t="s">
        <v>71</v>
      </c>
      <c r="H19" t="s">
        <v>15</v>
      </c>
    </row>
    <row r="20" spans="1:8">
      <c r="A20" t="s">
        <v>78</v>
      </c>
      <c r="B20" t="s">
        <v>79</v>
      </c>
      <c r="C20">
        <v>50</v>
      </c>
      <c r="D20" t="s">
        <v>45</v>
      </c>
      <c r="E20" t="s">
        <v>80</v>
      </c>
      <c r="F20" t="s">
        <v>81</v>
      </c>
      <c r="G20" t="s">
        <v>82</v>
      </c>
      <c r="H20" t="s">
        <v>15</v>
      </c>
    </row>
    <row r="21" spans="1:8">
      <c r="A21" t="s">
        <v>78</v>
      </c>
      <c r="B21" t="s">
        <v>83</v>
      </c>
      <c r="C21">
        <v>100</v>
      </c>
      <c r="D21" t="s">
        <v>45</v>
      </c>
      <c r="E21" t="s">
        <v>84</v>
      </c>
      <c r="F21" t="s">
        <v>81</v>
      </c>
      <c r="G21" t="s">
        <v>82</v>
      </c>
      <c r="H21" t="s">
        <v>15</v>
      </c>
    </row>
    <row r="22" spans="1:8">
      <c r="A22" t="s">
        <v>78</v>
      </c>
      <c r="B22" t="s">
        <v>85</v>
      </c>
      <c r="C22">
        <v>200</v>
      </c>
      <c r="D22" t="s">
        <v>45</v>
      </c>
      <c r="E22" t="s">
        <v>86</v>
      </c>
      <c r="F22" t="s">
        <v>81</v>
      </c>
      <c r="G22" t="s">
        <v>82</v>
      </c>
      <c r="H22" t="s">
        <v>15</v>
      </c>
    </row>
    <row r="23" spans="1:8">
      <c r="A23" t="s">
        <v>87</v>
      </c>
      <c r="B23" t="s">
        <v>88</v>
      </c>
      <c r="C23">
        <v>100</v>
      </c>
      <c r="D23" t="s">
        <v>45</v>
      </c>
      <c r="E23" t="s">
        <v>89</v>
      </c>
      <c r="F23" t="s">
        <v>90</v>
      </c>
      <c r="G23" t="s">
        <v>91</v>
      </c>
      <c r="H23" t="s">
        <v>15</v>
      </c>
    </row>
    <row r="24" spans="1:8">
      <c r="A24" t="s">
        <v>87</v>
      </c>
      <c r="B24" t="s">
        <v>92</v>
      </c>
      <c r="C24">
        <v>100</v>
      </c>
      <c r="D24" t="s">
        <v>45</v>
      </c>
      <c r="E24" t="s">
        <v>93</v>
      </c>
      <c r="F24" t="s">
        <v>94</v>
      </c>
      <c r="G24" t="s">
        <v>95</v>
      </c>
      <c r="H24" t="s">
        <v>15</v>
      </c>
    </row>
    <row r="25" spans="1:8">
      <c r="A25" t="s">
        <v>87</v>
      </c>
      <c r="B25" t="s">
        <v>96</v>
      </c>
      <c r="C25">
        <v>100</v>
      </c>
      <c r="D25" t="s">
        <v>45</v>
      </c>
      <c r="E25" t="s">
        <v>97</v>
      </c>
      <c r="F25" t="s">
        <v>98</v>
      </c>
      <c r="G25" t="s">
        <v>99</v>
      </c>
      <c r="H25" t="s">
        <v>15</v>
      </c>
    </row>
    <row r="26" spans="1:8">
      <c r="A26" t="s">
        <v>87</v>
      </c>
      <c r="B26" t="s">
        <v>100</v>
      </c>
      <c r="C26">
        <v>100</v>
      </c>
      <c r="D26" t="s">
        <v>45</v>
      </c>
      <c r="E26" t="s">
        <v>101</v>
      </c>
      <c r="F26" t="s">
        <v>102</v>
      </c>
      <c r="G26" t="s">
        <v>103</v>
      </c>
      <c r="H26" t="s">
        <v>15</v>
      </c>
    </row>
    <row r="27" spans="1:8">
      <c r="A27" t="s">
        <v>87</v>
      </c>
      <c r="B27" t="s">
        <v>104</v>
      </c>
      <c r="C27">
        <v>2</v>
      </c>
      <c r="D27" t="s">
        <v>105</v>
      </c>
      <c r="E27" t="s">
        <v>106</v>
      </c>
      <c r="F27" t="s">
        <v>107</v>
      </c>
      <c r="G27" t="s">
        <v>108</v>
      </c>
      <c r="H27" t="s">
        <v>15</v>
      </c>
    </row>
    <row r="28" spans="1:8">
      <c r="A28" t="s">
        <v>87</v>
      </c>
      <c r="B28" t="s">
        <v>109</v>
      </c>
      <c r="C28">
        <v>2</v>
      </c>
      <c r="D28" t="s">
        <v>105</v>
      </c>
      <c r="E28" t="s">
        <v>110</v>
      </c>
      <c r="F28" t="s">
        <v>111</v>
      </c>
      <c r="G28" t="s">
        <v>112</v>
      </c>
      <c r="H28" t="s">
        <v>15</v>
      </c>
    </row>
    <row r="29" spans="1:8">
      <c r="A29" t="s">
        <v>87</v>
      </c>
      <c r="B29" t="s">
        <v>113</v>
      </c>
      <c r="C29">
        <v>2</v>
      </c>
      <c r="D29" t="s">
        <v>105</v>
      </c>
      <c r="E29" t="s">
        <v>114</v>
      </c>
      <c r="F29" t="s">
        <v>115</v>
      </c>
      <c r="G29" t="s">
        <v>116</v>
      </c>
      <c r="H29" t="s">
        <v>15</v>
      </c>
    </row>
    <row r="30" spans="1:8">
      <c r="A30" t="s">
        <v>87</v>
      </c>
      <c r="B30" t="s">
        <v>117</v>
      </c>
      <c r="C30">
        <v>2</v>
      </c>
      <c r="D30" t="s">
        <v>105</v>
      </c>
      <c r="E30" t="s">
        <v>118</v>
      </c>
      <c r="F30" t="s">
        <v>119</v>
      </c>
      <c r="G30" t="s">
        <v>120</v>
      </c>
      <c r="H30" t="s">
        <v>15</v>
      </c>
    </row>
    <row r="31" spans="1:8">
      <c r="A31" t="s">
        <v>121</v>
      </c>
      <c r="B31" t="s">
        <v>122</v>
      </c>
      <c r="C31">
        <v>20</v>
      </c>
      <c r="D31" t="s">
        <v>24</v>
      </c>
      <c r="E31" t="s">
        <v>123</v>
      </c>
      <c r="F31" t="s">
        <v>124</v>
      </c>
      <c r="G31" t="s">
        <v>125</v>
      </c>
      <c r="H31" t="s">
        <v>126</v>
      </c>
    </row>
    <row r="32" spans="1:8">
      <c r="A32" t="s">
        <v>121</v>
      </c>
      <c r="B32" t="s">
        <v>127</v>
      </c>
      <c r="C32">
        <v>30</v>
      </c>
      <c r="D32" t="s">
        <v>24</v>
      </c>
      <c r="E32" t="s">
        <v>128</v>
      </c>
      <c r="F32" t="s">
        <v>129</v>
      </c>
      <c r="G32" t="s">
        <v>130</v>
      </c>
      <c r="H32" t="s">
        <v>126</v>
      </c>
    </row>
    <row r="33" spans="1:8">
      <c r="A33" t="s">
        <v>121</v>
      </c>
      <c r="B33" t="s">
        <v>131</v>
      </c>
      <c r="C33">
        <v>20</v>
      </c>
      <c r="D33" t="s">
        <v>24</v>
      </c>
      <c r="E33" t="s">
        <v>132</v>
      </c>
      <c r="F33" t="s">
        <v>133</v>
      </c>
      <c r="G33" t="s">
        <v>134</v>
      </c>
      <c r="H33" t="s">
        <v>126</v>
      </c>
    </row>
    <row r="34" spans="1:8">
      <c r="A34" t="s">
        <v>121</v>
      </c>
      <c r="B34" t="s">
        <v>135</v>
      </c>
      <c r="C34">
        <v>200</v>
      </c>
      <c r="D34" t="s">
        <v>11</v>
      </c>
      <c r="E34" t="s">
        <v>136</v>
      </c>
      <c r="F34" t="s">
        <v>137</v>
      </c>
      <c r="G34" t="s">
        <v>138</v>
      </c>
      <c r="H34" t="s">
        <v>126</v>
      </c>
    </row>
    <row r="35" spans="1:8">
      <c r="A35" t="s">
        <v>121</v>
      </c>
      <c r="B35" t="s">
        <v>139</v>
      </c>
      <c r="C35">
        <v>100</v>
      </c>
      <c r="D35" t="s">
        <v>11</v>
      </c>
      <c r="E35" t="s">
        <v>140</v>
      </c>
      <c r="F35" t="s">
        <v>141</v>
      </c>
      <c r="G35" t="s">
        <v>142</v>
      </c>
      <c r="H35" t="s">
        <v>126</v>
      </c>
    </row>
    <row r="36" spans="1:8">
      <c r="A36" t="s">
        <v>121</v>
      </c>
      <c r="B36" t="s">
        <v>143</v>
      </c>
      <c r="C36">
        <v>200</v>
      </c>
      <c r="D36" t="s">
        <v>45</v>
      </c>
      <c r="E36" t="s">
        <v>144</v>
      </c>
      <c r="F36" t="s">
        <v>145</v>
      </c>
      <c r="G36" t="s">
        <v>146</v>
      </c>
      <c r="H36" t="s">
        <v>126</v>
      </c>
    </row>
    <row r="37" spans="1:8">
      <c r="A37" t="s">
        <v>121</v>
      </c>
      <c r="B37" t="s">
        <v>147</v>
      </c>
      <c r="C37">
        <v>100</v>
      </c>
      <c r="D37" t="s">
        <v>45</v>
      </c>
      <c r="E37" t="s">
        <v>148</v>
      </c>
      <c r="F37" t="s">
        <v>149</v>
      </c>
      <c r="G37" t="s">
        <v>150</v>
      </c>
      <c r="H37" t="s">
        <v>126</v>
      </c>
    </row>
    <row r="38" spans="1:8">
      <c r="A38" t="s">
        <v>121</v>
      </c>
      <c r="B38" t="s">
        <v>151</v>
      </c>
      <c r="C38">
        <v>5</v>
      </c>
      <c r="D38" t="s">
        <v>24</v>
      </c>
      <c r="E38" t="s">
        <v>152</v>
      </c>
      <c r="F38" t="s">
        <v>153</v>
      </c>
      <c r="G38" t="s">
        <v>154</v>
      </c>
      <c r="H38" t="s">
        <v>126</v>
      </c>
    </row>
    <row r="39" spans="1:8">
      <c r="A39" t="s">
        <v>121</v>
      </c>
      <c r="B39" t="s">
        <v>155</v>
      </c>
      <c r="C39">
        <v>5</v>
      </c>
      <c r="D39" t="s">
        <v>24</v>
      </c>
      <c r="E39" t="s">
        <v>156</v>
      </c>
      <c r="F39" t="s">
        <v>153</v>
      </c>
      <c r="G39" t="s">
        <v>154</v>
      </c>
      <c r="H39" t="s">
        <v>126</v>
      </c>
    </row>
    <row r="40" spans="1:8">
      <c r="A40" t="s">
        <v>121</v>
      </c>
      <c r="B40" t="s">
        <v>157</v>
      </c>
      <c r="C40">
        <v>3</v>
      </c>
      <c r="D40" t="s">
        <v>24</v>
      </c>
      <c r="E40" t="s">
        <v>158</v>
      </c>
      <c r="F40" t="s">
        <v>159</v>
      </c>
      <c r="G40" t="s">
        <v>160</v>
      </c>
      <c r="H40" t="s">
        <v>126</v>
      </c>
    </row>
    <row r="41" spans="1:8">
      <c r="A41" t="s">
        <v>121</v>
      </c>
      <c r="B41" t="s">
        <v>161</v>
      </c>
      <c r="C41">
        <v>5</v>
      </c>
      <c r="D41" t="s">
        <v>24</v>
      </c>
      <c r="E41" t="s">
        <v>162</v>
      </c>
      <c r="F41" t="s">
        <v>159</v>
      </c>
      <c r="G41" t="s">
        <v>160</v>
      </c>
      <c r="H41" t="s">
        <v>126</v>
      </c>
    </row>
    <row r="42" spans="1:8">
      <c r="A42" t="s">
        <v>121</v>
      </c>
      <c r="B42" t="s">
        <v>163</v>
      </c>
      <c r="C42">
        <v>1</v>
      </c>
      <c r="D42" t="s">
        <v>105</v>
      </c>
      <c r="E42" t="s">
        <v>164</v>
      </c>
      <c r="F42" t="s">
        <v>165</v>
      </c>
      <c r="G42" t="s">
        <v>166</v>
      </c>
      <c r="H42" t="s">
        <v>126</v>
      </c>
    </row>
    <row r="43" spans="1:8">
      <c r="A43" t="s">
        <v>121</v>
      </c>
      <c r="B43" t="s">
        <v>167</v>
      </c>
      <c r="C43">
        <v>0.05</v>
      </c>
      <c r="D43" t="s">
        <v>168</v>
      </c>
      <c r="E43" t="s">
        <v>169</v>
      </c>
      <c r="F43" t="s">
        <v>170</v>
      </c>
      <c r="G43" t="s">
        <v>171</v>
      </c>
      <c r="H43" t="s">
        <v>126</v>
      </c>
    </row>
  </sheetData>
  <mergeCells count="1">
    <mergeCell ref="A1:H1"/>
  </mergeCells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00_사용가이드</vt:lpstr>
      <vt:lpstr>01_Player</vt:lpstr>
      <vt:lpstr>02_Level</vt:lpstr>
      <vt:lpstr>03_Exploration</vt:lpstr>
      <vt:lpstr>04_Quest</vt:lpstr>
      <vt:lpstr>05_Item</vt:lpstr>
      <vt:lpstr>06_Drop</vt:lpstr>
      <vt:lpstr>09_Economy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dawoon kim</cp:lastModifiedBy>
  <dcterms:created xsi:type="dcterms:W3CDTF">2026-08-01T12:07:07Z</dcterms:created>
  <dcterms:modified xsi:type="dcterms:W3CDTF">2026-08-04T17:51:14Z</dcterms:modified>
</cp:coreProperties>
</file>